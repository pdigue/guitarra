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z" sheetId="1" state="visible" r:id="rId3"/>
    <sheet name="Resumen" sheetId="2" state="visible" r:id="rId4"/>
    <sheet name="Leyenda" sheetId="3" state="visible" r:id="rId5"/>
    <sheet name="Control de cambios" sheetId="4" state="visible" r:id="rId6"/>
  </sheets>
  <definedNames>
    <definedName function="false" hidden="true" localSheetId="0" name="_xlnm._FilterDatabase" vbProcedure="false">Matriz!$A$4:$Q$94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<sst xmlns="http://schemas.openxmlformats.org/spreadsheetml/2006/main" count="1427" uniqueCount="509">
  <si>
    <t xml:space="preserve">Trasteando — Matriz de cumplimiento de requisitos</t>
  </si>
  <si>
    <t xml:space="preserve">Base: requisitos.md v1.2 · app 0.1.2 · roadmap 3.0 · emitida el 14/10/2026. Cliente: Pablo Díaz Guerra. Proveedor: chat de Desarrollo. Verificación independiente: auditores de requisitos y técnico.</t>
  </si>
  <si>
    <t xml:space="preserve">ID</t>
  </si>
  <si>
    <t xml:space="preserve">Categoría</t>
  </si>
  <si>
    <t xml:space="preserve">Requisito</t>
  </si>
  <si>
    <t xml:space="preserve">Prioridad</t>
  </si>
  <si>
    <t xml:space="preserve">Origen</t>
  </si>
  <si>
    <t xml:space="preserve">Fase</t>
  </si>
  <si>
    <t xml:space="preserve">Etapa</t>
  </si>
  <si>
    <t xml:space="preserve">Método</t>
  </si>
  <si>
    <t xml:space="preserve">Criterio de aceptación</t>
  </si>
  <si>
    <t xml:space="preserve">Declaración del proveedor</t>
  </si>
  <si>
    <t xml:space="preserve">Desde versión</t>
  </si>
  <si>
    <t xml:space="preserve">Evidencia</t>
  </si>
  <si>
    <t xml:space="preserve">Estado de verificación</t>
  </si>
  <si>
    <t xml:space="preserve">Verifica</t>
  </si>
  <si>
    <t xml:space="preserve">Comentario del proveedor</t>
  </si>
  <si>
    <t xml:space="preserve">Comentario del cliente</t>
  </si>
  <si>
    <t xml:space="preserve">Cambio en v1.2</t>
  </si>
  <si>
    <t xml:space="preserve">G-01</t>
  </si>
  <si>
    <t xml:space="preserve">Requisitos generales y de producto</t>
  </si>
  <si>
    <t xml:space="preserve">La aplicación se llama Trasteando. El nombre aparece en la pantalla de entrada, el título de la pestaña y el manifiesto PWA.</t>
  </si>
  <si>
    <t xml:space="preserve">Alta</t>
  </si>
  <si>
    <t xml:space="preserve">Cliente · listado 14/09</t>
  </si>
  <si>
    <t xml:space="preserve">F1</t>
  </si>
  <si>
    <t xml:space="preserve">F1.1</t>
  </si>
  <si>
    <t xml:space="preserve">I</t>
  </si>
  <si>
    <t xml:space="preserve">El nombre «Trasteando» aparece en la pantalla de entrada, en la pestaña del navegador y en el manifiesto.</t>
  </si>
  <si>
    <t xml:space="preserve">Cumple</t>
  </si>
  <si>
    <t xml:space="preserve">0.1.0</t>
  </si>
  <si>
    <t xml:space="preserve">F1.1 #14</t>
  </si>
  <si>
    <t xml:space="preserve">Pendiente</t>
  </si>
  <si>
    <t xml:space="preserve">Auditor de requisitos</t>
  </si>
  <si>
    <t xml:space="preserve">Naming cerrado: se descarta Trasting.</t>
  </si>
  <si>
    <t xml:space="preserve">G-02</t>
  </si>
  <si>
    <t xml:space="preserve">La app se organiza en áreas accesibles desde una navegación principal: Libre, Adivinar, Afinador y Escalas.</t>
  </si>
  <si>
    <t xml:space="preserve">D</t>
  </si>
  <si>
    <t xml:space="preserve">La barra inferior muestra Libre, Adivinar, Afinador y Escalas; cada destino activo abre su vista y Escalas aparece deshabilitada.</t>
  </si>
  <si>
    <t xml:space="preserve">F1.1 #1 y #14</t>
  </si>
  <si>
    <t xml:space="preserve">Cliente</t>
  </si>
  <si>
    <t xml:space="preserve">Escalas visible pero deshabilitada hasta F5.</t>
  </si>
  <si>
    <t xml:space="preserve">G-03</t>
  </si>
  <si>
    <t xml:space="preserve">La app funciona sin conexión una vez cargada desde la web.</t>
  </si>
  <si>
    <t xml:space="preserve">Media</t>
  </si>
  <si>
    <t xml:space="preserve">F6</t>
  </si>
  <si>
    <t xml:space="preserve">F6.2</t>
  </si>
  <si>
    <t xml:space="preserve">T</t>
  </si>
  <si>
    <t xml:space="preserve">Tras una primera carga desde la web y con el modo avión activado, la app abre y suena.</t>
  </si>
  <si>
    <t xml:space="preserve">No cumple</t>
  </si>
  <si>
    <t xml:space="preserve">—</t>
  </si>
  <si>
    <t xml:space="preserve">Banco automático + auditor técnico</t>
  </si>
  <si>
    <t xml:space="preserve">Service Worker. Depende de S-07. En modo archivo (G-07) la autonomía se consigue de otra forma: el audio va dentro del archivo.</t>
  </si>
  <si>
    <t xml:space="preserve">Modificado</t>
  </si>
  <si>
    <t xml:space="preserve">G-04</t>
  </si>
  <si>
    <t xml:space="preserve">La app es instalable como PWA (icono en la pantalla de inicio, pantalla completa).</t>
  </si>
  <si>
    <t xml:space="preserve">F6 · F7</t>
  </si>
  <si>
    <t xml:space="preserve">F6.3 · F7.2</t>
  </si>
  <si>
    <t xml:space="preserve">Desde la web publicada, el navegador ofrece instalarla y abre a pantalla completa desde el icono.</t>
  </si>
  <si>
    <t xml:space="preserve">Cumple parcialmente</t>
  </si>
  <si>
    <t xml:space="preserve">Manifiesto incrustado como data: URL. Falta un archivo de manifiesto propio con iconos PNG (F6.3) y verificarla instalada desde la web publicada (F7.2): instalar solo es posible desde https.</t>
  </si>
  <si>
    <t xml:space="preserve">G-05</t>
  </si>
  <si>
    <t xml:space="preserve">La interfaz cumple unos mínimos de accesibilidad: foco de teclado visible, respeto a prefers-reduced-motion, contraste suficiente y etiquetas accesibles en los controles solo-icono.</t>
  </si>
  <si>
    <t xml:space="preserve">Desarrollo · v1.1</t>
  </si>
  <si>
    <t xml:space="preserve">F3</t>
  </si>
  <si>
    <t xml:space="preserve">F3.4</t>
  </si>
  <si>
    <t xml:space="preserve">I+T</t>
  </si>
  <si>
    <t xml:space="preserve">Todo control es alcanzable con teclado y muestra el foco; contrastes ≥ 4,5:1 medidos; el movimiento se reduce con prefers-reduced-motion.</t>
  </si>
  <si>
    <t xml:space="preserve">0.1.1</t>
  </si>
  <si>
    <t xml:space="preserve">Auditor técnico</t>
  </si>
  <si>
    <t xml:space="preserve">Hecho: foco visible, movimiento reducido, interruptores con role="switch" (0.1.1), aria-pressed en los selectores y aviso del reto para lectores de pantalla (0.1.2). Falta: recorrer el mástil con teclado y auditar el contraste.</t>
  </si>
  <si>
    <t xml:space="preserve">G-06</t>
  </si>
  <si>
    <t xml:space="preserve">El proyecto documenta sus dependencias externas y la licencia de cada recurso de terceros que distribuye.</t>
  </si>
  <si>
    <t xml:space="preserve">F2 · F6</t>
  </si>
  <si>
    <t xml:space="preserve">F2.1 · F6.4</t>
  </si>
  <si>
    <t xml:space="preserve">CREDITOS.md lista cada recurso de terceros con su origen y su licencia.</t>
  </si>
  <si>
    <t xml:space="preserve">Tone.js (MIT) y los samples de audio (S-07).</t>
  </si>
  <si>
    <t xml:space="preserve">G-07</t>
  </si>
  <si>
    <t xml:space="preserve">Modo archivo autónomo: la app funciona completa —salvo el afinador por micrófono— abriendo el archivo directamente (file://), sin servidor y sin conexión.</t>
  </si>
  <si>
    <t xml:space="preserve">Cliente · 15/09</t>
  </si>
  <si>
    <t xml:space="preserve">F2</t>
  </si>
  <si>
    <t xml:space="preserve">F2.3 · F2.5</t>
  </si>
  <si>
    <t xml:space="preserve">Con el ordenador en modo avión, abrir el archivo con doble clic: suenan las muestras reales y funcionan Libre, Adivinar y el afinador por referencia.</t>
  </si>
  <si>
    <t xml:space="preserve">Hoy funciona sin conexión pero con sonido sintetizado, porque los samples se descargan de internet. Se completa al incrustar el audio en el archivo (F2.3). En iPhone puede no ser viable: ver PL-03.</t>
  </si>
  <si>
    <t xml:space="preserve">Nuevo</t>
  </si>
  <si>
    <t xml:space="preserve">G-08</t>
  </si>
  <si>
    <t xml:space="preserve">El proyecto conserva dos formas de distribución equivalentes: el archivo autónomo (para llevárselo) y la web publicada (para instalarla como PWA).</t>
  </si>
  <si>
    <t xml:space="preserve">F4 · F6</t>
  </si>
  <si>
    <t xml:space="preserve">F4.1 · F6.1</t>
  </si>
  <si>
    <t xml:space="preserve">El archivo autónomo generado y la web publicada superan el mismo banco de pruebas.</t>
  </si>
  <si>
    <t xml:space="preserve">Hoy se cumple de forma trivial: todo es un único archivo. Se vuelve exigente al pasar a módulos (F4.1), que no funcionan con file://; F6.1 genera el archivo autónomo a partir de ellos.</t>
  </si>
  <si>
    <t xml:space="preserve">G-09</t>
  </si>
  <si>
    <t xml:space="preserve">La app podrá distribuirse por tiendas oficiales —Google Play, Microsoft Store y, si compensa, App Store— empaquetando la PWA publicada.</t>
  </si>
  <si>
    <t xml:space="preserve">Cliente · 14/10</t>
  </si>
  <si>
    <t xml:space="preserve">F7</t>
  </si>
  <si>
    <t xml:space="preserve">F7.4</t>
  </si>
  <si>
    <t xml:space="preserve">Ficha enviada a revisión en al menos una tienda, o decisión documentada de no hacerlo.</t>
  </si>
  <si>
    <t xml:space="preserve">Decisión de producto en F7.4. Exige S-07 con licencia limpia, G-11 y la web publicada (X-02). Cuentas, costes y archivos necesarios: roadmap, Inventario de lanzamiento.</t>
  </si>
  <si>
    <t xml:space="preserve">G-10</t>
  </si>
  <si>
    <t xml:space="preserve">Control de versiones de la app: cada versión tiene número propio con la pauta 0.‹fase›.‹corrección› —1.0.0 en el lanzamiento—, se registra en CHANGELOG.md y se muestra en Ajustes.</t>
  </si>
  <si>
    <t xml:space="preserve">F1.3</t>
  </si>
  <si>
    <t xml:space="preserve">Ajustes muestra la versión; CHANGELOG.md tiene una entrada por versión; existe la etiqueta de Git de cada cierre de fase.</t>
  </si>
  <si>
    <t xml:space="preserve">0.1.2</t>
  </si>
  <si>
    <t xml:space="preserve">Banco 0.1.2 (DOM simulado) · CHANGELOG.md · F1.1 #12</t>
  </si>
  <si>
    <t xml:space="preserve">Verificado parcialmente</t>
  </si>
  <si>
    <t xml:space="preserve">Vincula cada versión con su fase del roadmap. Cada fase cerrada se marca además con una etiqueta de Git (F1.4).</t>
  </si>
  <si>
    <t xml:space="preserve">G-11</t>
  </si>
  <si>
    <t xml:space="preserve">Privacidad: la app no recoge ni envía datos personales; el sonido del micrófono se analiza solo en el dispositivo. Una política de privacidad pública lo declara.</t>
  </si>
  <si>
    <t xml:space="preserve">Desarrollo · v1.2</t>
  </si>
  <si>
    <t xml:space="preserve">F6.4</t>
  </si>
  <si>
    <t xml:space="preserve">La política de privacidad está publicada y la app no envía ninguna petición con datos del usuario (pestaña Red).</t>
  </si>
  <si>
    <t xml:space="preserve">Las tiendas exigen política de privacidad, y el micrófono la hace necesaria también por transparencia. Hoy la app ya no envía nada: solo guarda ajustes en el propio navegador.</t>
  </si>
  <si>
    <t xml:space="preserve">PL-01</t>
  </si>
  <si>
    <t xml:space="preserve">Plataformas</t>
  </si>
  <si>
    <t xml:space="preserve">Windows: la app funciona en Chrome, Edge y Firefox actuales —en modo archivo, local y web— e instalada como PWA desde Edge o Chrome.</t>
  </si>
  <si>
    <t xml:space="preserve">F2 · F7</t>
  </si>
  <si>
    <t xml:space="preserve">F2.5 · F7.2</t>
  </si>
  <si>
    <t xml:space="preserve">La lista de F1.1 se supera en Chrome, Edge y Firefox en Windows, y la app se instala como PWA desde Edge.</t>
  </si>
  <si>
    <t xml:space="preserve">Es la plataforma de desarrollo y la mejor cubierta. Tienda: Microsoft Store (F7.4).</t>
  </si>
  <si>
    <t xml:space="preserve">PL-02</t>
  </si>
  <si>
    <t xml:space="preserve">Android: la app funciona en Chrome —en web e instalada como PWA— y, si es viable, en modo archivo.</t>
  </si>
  <si>
    <t xml:space="preserve">La lista de comprobación se supera en Chrome para Android, en web y con la PWA instalada.</t>
  </si>
  <si>
    <t xml:space="preserve">Modo archivo: abrir el HTML descargado con Chrome; a verificar en F2.5. Tienda: Google Play empaquetando la PWA (F7.4).</t>
  </si>
  <si>
    <t xml:space="preserve">PL-03</t>
  </si>
  <si>
    <t xml:space="preserve">iPhone y iPad: la app funciona en Safari —en web e instalada con «Añadir a pantalla de inicio».</t>
  </si>
  <si>
    <t xml:space="preserve">La lista de comprobación se supera en Safari para iOS, en web y desde la pantalla de inicio.</t>
  </si>
  <si>
    <t xml:space="preserve">Modo archivo probablemente inviable: la vista previa de la app Archivos no ejecuta JavaScript (a confirmar en F2.5). Alternativas: el navegador integrado de una app de terceros o un despliegue de pruebas. Tienda: App Store exige un Mac con Xcode y la cuenta de desarrollador de Apple (F7.4).</t>
  </si>
  <si>
    <t xml:space="preserve">N-01</t>
  </si>
  <si>
    <t xml:space="preserve">Nomenclatura y notación</t>
  </si>
  <si>
    <t xml:space="preserve">Alternancia entre nomenclatura latina (Do, Re, Mi…) y anglosajona (C, D, E…).</t>
  </si>
  <si>
    <t xml:space="preserve">El chip de nomenclatura alterna todos los nombres entre Do-Re-Mi y C-D-E.</t>
  </si>
  <si>
    <t xml:space="preserve">F1.1 #6</t>
  </si>
  <si>
    <t xml:space="preserve">N-02</t>
  </si>
  <si>
    <t xml:space="preserve">El cambio de nomenclatura está en el menú de configuración.</t>
  </si>
  <si>
    <t xml:space="preserve">El selector de Ajustes produce el mismo cambio que el chip.</t>
  </si>
  <si>
    <t xml:space="preserve">N-03</t>
  </si>
  <si>
    <t xml:space="preserve">El cambio de nomenclatura está además en la interfaz principal, sin abrir el menú.</t>
  </si>
  <si>
    <t xml:space="preserve">El chip está visible en la barra de acceso rápido sin abrir ningún menú.</t>
  </si>
  <si>
    <t xml:space="preserve">Chip en la barra de acceso rápido.</t>
  </si>
  <si>
    <t xml:space="preserve">N-04</t>
  </si>
  <si>
    <t xml:space="preserve">La nomenclatura se aplica de forma consistente en mástil, juego, afinador y pentagrama.</t>
  </si>
  <si>
    <t xml:space="preserve">Tras cambiar la nomenclatura, mástil, cuerdas, lector de nota, pistas y afinador usan la nueva.</t>
  </si>
  <si>
    <t xml:space="preserve">Verificar de nuevo al añadir Escalas (F5).</t>
  </si>
  <si>
    <t xml:space="preserve">N-05</t>
  </si>
  <si>
    <t xml:space="preserve">La nomenclatura persiste entre sesiones.</t>
  </si>
  <si>
    <t xml:space="preserve">Tras recargar la página se mantiene la nomenclatura elegida.</t>
  </si>
  <si>
    <t xml:space="preserve">F1.1 #13</t>
  </si>
  <si>
    <t xml:space="preserve">localStorage.</t>
  </si>
  <si>
    <t xml:space="preserve">D-01</t>
  </si>
  <si>
    <t xml:space="preserve">Diapasón</t>
  </si>
  <si>
    <t xml:space="preserve">Diagrama del mástil de 6 cuerdas.</t>
  </si>
  <si>
    <t xml:space="preserve">Se dibujan 6 cuerdas con 25 posiciones cada una: cejuela y 24 trastes.</t>
  </si>
  <si>
    <t xml:space="preserve">Banco 0.1.2 (DOM simulado): 150 celdas</t>
  </si>
  <si>
    <t xml:space="preserve">D-02</t>
  </si>
  <si>
    <t xml:space="preserve">Cada cuerda muestra a la izquierda su nota al aire, derivada de la afinación activa.</t>
  </si>
  <si>
    <t xml:space="preserve">La etiqueta de cada cuerda coincide con la afinación activa y cambia al cambiarla.</t>
  </si>
  <si>
    <t xml:space="preserve">Banco 0.1.2 (DOM simulado): Drop D</t>
  </si>
  <si>
    <t xml:space="preserve">Se actualiza sola al cambiar de afinación (A-10).</t>
  </si>
  <si>
    <t xml:space="preserve">D-03</t>
  </si>
  <si>
    <t xml:space="preserve">Cada traste muestra su número alineado exactamente sobre la franja donde se pulsa.</t>
  </si>
  <si>
    <t xml:space="preserve">Cada número de traste queda centrado sobre su franja con cualquier nivel de zoom.</t>
  </si>
  <si>
    <t xml:space="preserve">F1.1 #7</t>
  </si>
  <si>
    <t xml:space="preserve">La fila de números comparte las mismas variables de ancho (--label-w, --nut-w, --fret-w) que las celdas.</t>
  </si>
  <si>
    <t xml:space="preserve">D-04</t>
  </si>
  <si>
    <t xml:space="preserve">La numeración de trastes tiene tres modos: todos, guía (solo los trastes con marca) y ninguno.</t>
  </si>
  <si>
    <t xml:space="preserve">Los modos Todos, Guía y No muestran todos los números, solo los de trastes con marca, o ninguno.</t>
  </si>
  <si>
    <t xml:space="preserve">Banco 0.1.2 (DOM simulado) · F1.1 #11</t>
  </si>
  <si>
    <t xml:space="preserve">Sustituye al interruptor de la 0.1.1; quien lo tuviera apagado pasa automáticamente a «ninguno».</t>
  </si>
  <si>
    <t xml:space="preserve">D-05</t>
  </si>
  <si>
    <t xml:space="preserve">Al pulsar una posición suena esa nota.</t>
  </si>
  <si>
    <t xml:space="preserve">Pulsar una posición reproduce su nota sin retardo perceptible.</t>
  </si>
  <si>
    <t xml:space="preserve">F1.1 #2</t>
  </si>
  <si>
    <t xml:space="preserve">D-06</t>
  </si>
  <si>
    <t xml:space="preserve">Al pulsar una posición aparece el nombre de la nota en la nomenclatura activa.</t>
  </si>
  <si>
    <t xml:space="preserve">Al pulsar aparece el nombre de la nota sobre la posición.</t>
  </si>
  <si>
    <t xml:space="preserve">D-07</t>
  </si>
  <si>
    <t xml:space="preserve">Marcadores de posición en los trastes habituales (3, 5, 7, 9, 12, 15, 17, 19, 21, 24).</t>
  </si>
  <si>
    <t xml:space="preserve">Marcas simples en los trastes 3, 5, 7, 9, 15, 17, 19 y 21, y dobles en 12 y 24.</t>
  </si>
  <si>
    <t xml:space="preserve">S-01</t>
  </si>
  <si>
    <t xml:space="preserve">Sonido</t>
  </si>
  <si>
    <t xml:space="preserve">El sonido corresponde a una guitarra real, no a un sintetizador genérico.</t>
  </si>
  <si>
    <t xml:space="preserve">F1 · F2</t>
  </si>
  <si>
    <t xml:space="preserve">F1.1 · F2.2 · F2.4</t>
  </si>
  <si>
    <t xml:space="preserve">Con conexión suenan las muestras, no el sintetizador; en la pestaña Red se ven descargadas.</t>
  </si>
  <si>
    <t xml:space="preserve">Hoy con Tone.js y samples de un tercero. En F2 se sustituye por un reproductor propio con samples alojados en el proyecto (S-07).</t>
  </si>
  <si>
    <t xml:space="preserve">S-02</t>
  </si>
  <si>
    <t xml:space="preserve">El usuario elige entre guitarra clásica (nylon) y acústica (acero).</t>
  </si>
  <si>
    <t xml:space="preserve">Elegir Acústica cambia el timbre audible y elegir Clásica lo devuelve.</t>
  </si>
  <si>
    <t xml:space="preserve">F1.1 #5</t>
  </si>
  <si>
    <t xml:space="preserve">Cambiar de timbre descarga otro set de muestras, con aviso. Desde 0.1.2, dos cambios seguidos ya no muestran el mensaje de la carga descartada.</t>
  </si>
  <si>
    <t xml:space="preserve">S-03</t>
  </si>
  <si>
    <t xml:space="preserve">La selección de timbre está en el menú de configuración.</t>
  </si>
  <si>
    <t xml:space="preserve">El selector de timbre está en Ajustes.</t>
  </si>
  <si>
    <t xml:space="preserve">S-04</t>
  </si>
  <si>
    <t xml:space="preserve">Si los samples no cargan, la app sigue sonando por síntesis.</t>
  </si>
  <si>
    <t xml:space="preserve">Sin conexión, la app suena con el sintetizador y lo avisa en la pantalla de entrada.</t>
  </si>
  <si>
    <t xml:space="preserve">Karplus-Strong con filtros que imitan la caja de resonancia. Desde 0.1.1 cada nota se calcula una sola vez y se reutiliza.</t>
  </si>
  <si>
    <t xml:space="preserve">S-05</t>
  </si>
  <si>
    <t xml:space="preserve">El primer sonido requiere una interacción explícita del usuario.</t>
  </si>
  <si>
    <t xml:space="preserve">No suena nada antes de pulsar «Empezar».</t>
  </si>
  <si>
    <t xml:space="preserve">Lo impone la política de reproducción automática de los navegadores.</t>
  </si>
  <si>
    <t xml:space="preserve">S-06</t>
  </si>
  <si>
    <t xml:space="preserve">El timbre persiste entre sesiones.</t>
  </si>
  <si>
    <t xml:space="preserve">Tras recargar se mantiene el timbre elegido.</t>
  </si>
  <si>
    <t xml:space="preserve">S-07</t>
  </si>
  <si>
    <t xml:space="preserve">Los samples de audio se alojan en el propio proyecto, con licencia verificada y documentada.</t>
  </si>
  <si>
    <t xml:space="preserve">AR-01</t>
  </si>
  <si>
    <t xml:space="preserve">F2.1 · F2.3</t>
  </si>
  <si>
    <t xml:space="preserve">Ninguna petición de audio sale del dominio propio, y CREDITOS.md documenta origen y licencia.</t>
  </si>
  <si>
    <t xml:space="preserve">Antes asignado a V1; pasa a F2, la fase del sonido. Opciones y análisis en la sección de riesgos.</t>
  </si>
  <si>
    <t xml:space="preserve">P-01</t>
  </si>
  <si>
    <t xml:space="preserve">Pentagrama</t>
  </si>
  <si>
    <t xml:space="preserve">Al pulsar una nota en el mástil, se representa en el pentagrama.</t>
  </si>
  <si>
    <t xml:space="preserve">A</t>
  </si>
  <si>
    <t xml:space="preserve">Toda posición del mástil, en cualquier afinación permitida, se dibuja dentro del pentagrama.</t>
  </si>
  <si>
    <t xml:space="preserve">Análisis 15/09: ninguna nota fuera en todo el rango · F1.1 #3 y #4</t>
  </si>
  <si>
    <t xml:space="preserve">Clave de sol octavada. Desde 0.1.1 las notas muy agudas o graves se dibujan transportadas con 8va, 15ma u 8vb, y la clave es un trazado propio que no depende de las fuentes del sistema.</t>
  </si>
  <si>
    <t xml:space="preserve">P-02</t>
  </si>
  <si>
    <t xml:space="preserve">El pentagrama se puede mostrar u ocultar.</t>
  </si>
  <si>
    <t xml:space="preserve">El pentagrama se oculta y se muestra desde el chip y desde Ajustes.</t>
  </si>
  <si>
    <t xml:space="preserve">En configuración y en acceso rápido.</t>
  </si>
  <si>
    <t xml:space="preserve">P-03</t>
  </si>
  <si>
    <t xml:space="preserve">El pentagrama está disponible en todos los modos de aprendizaje.</t>
  </si>
  <si>
    <t xml:space="preserve">F5</t>
  </si>
  <si>
    <t xml:space="preserve">F5.3</t>
  </si>
  <si>
    <t xml:space="preserve">El pentagrama funciona en Libre, Adivinar y Escalas.</t>
  </si>
  <si>
    <t xml:space="preserve">Libre y Adivinar sí. Escalas, en F5.</t>
  </si>
  <si>
    <t xml:space="preserve">P-04</t>
  </si>
  <si>
    <t xml:space="preserve">En el afinador, la afinación seleccionada se muestra como seis notas en un pentagrama.</t>
  </si>
  <si>
    <t xml:space="preserve">El afinador muestra en un pentagrama las seis notas de la afinación activa.</t>
  </si>
  <si>
    <t xml:space="preserve">L-01</t>
  </si>
  <si>
    <t xml:space="preserve">Modo Libre</t>
  </si>
  <si>
    <t xml:space="preserve">El modo por defecto al abrir la app es el diapasón libre.</t>
  </si>
  <si>
    <t xml:space="preserve">Al abrir la app se muestra el modo Libre.</t>
  </si>
  <si>
    <t xml:space="preserve">L-02</t>
  </si>
  <si>
    <t xml:space="preserve">El usuario decide si ve el nombre de todas las notas del mástil o solo el de la que pulsa.</t>
  </si>
  <si>
    <t xml:space="preserve">Con «Ver todas las notas» se ven todos los nombres; sin él, solo el de la nota pulsada.</t>
  </si>
  <si>
    <t xml:space="preserve">F1.1 #10</t>
  </si>
  <si>
    <t xml:space="preserve">Por defecto solo la pulsada, para no convertir el mástil en una chuleta permanente. En Adivinar no se aplica (J-12).</t>
  </si>
  <si>
    <t xml:space="preserve">L-03</t>
  </si>
  <si>
    <t xml:space="preserve">Al pulsar una nota se señalan discretamente las demás posiciones que producen exactamente la misma nota (mismo sonido, no misma clase de nota).</t>
  </si>
  <si>
    <t xml:space="preserve">Al pulsar una nota se señalan las demás posiciones con el mismo sonido exacto y ninguna de otra octava.</t>
  </si>
  <si>
    <t xml:space="preserve">Señal deliberadamente más tenue que la nota pulsada.</t>
  </si>
  <si>
    <t xml:space="preserve">J-01</t>
  </si>
  <si>
    <t xml:space="preserve">Modo Adivinar</t>
  </si>
  <si>
    <t xml:space="preserve">Suena una nota aleatoria y el usuario busca su posición en el mástil.</t>
  </si>
  <si>
    <t xml:space="preserve">Al entrar en Adivinar suena una nota y el botón ▶ la repite.</t>
  </si>
  <si>
    <t xml:space="preserve">Con botón para repetir el sonido. Desde 0.1.1 los retos se limitan a los 12 primeros trastes por defecto, y desplazar el mástil ya no cuenta como pulsación.</t>
  </si>
  <si>
    <t xml:space="preserve">J-02</t>
  </si>
  <si>
    <t xml:space="preserve">Se acepta como acierto cualquier posición que produzca esa nota exacta.</t>
  </si>
  <si>
    <t xml:space="preserve">Cualquier posición con el mismo sonido cuenta como acierto.</t>
  </si>
  <si>
    <t xml:space="preserve">Banco 0.1.2 (DOM simulado): acierto</t>
  </si>
  <si>
    <t xml:space="preserve">J-03</t>
  </si>
  <si>
    <t xml:space="preserve">Tras acertar se señalan las demás posiciones válidas.</t>
  </si>
  <si>
    <t xml:space="preserve">Reutiliza la lógica de L-03.</t>
  </si>
  <si>
    <t xml:space="preserve">J-04</t>
  </si>
  <si>
    <t xml:space="preserve">Pista opcional: nombre de la nota que suena.</t>
  </si>
  <si>
    <t xml:space="preserve">La pista «Nombre» muestra el nombre y la octava de la nota que suena.</t>
  </si>
  <si>
    <t xml:space="preserve">J-05</t>
  </si>
  <si>
    <t xml:space="preserve">Pista opcional: cuerda o cuerdas donde puede encontrarse.</t>
  </si>
  <si>
    <t xml:space="preserve">La pista «Cuerda» lista las cuerdas donde puede estar la nota.</t>
  </si>
  <si>
    <t xml:space="preserve">J-06</t>
  </si>
  <si>
    <t xml:space="preserve">Las pistas se activan desde la propia interfaz, sin abrir el menú.</t>
  </si>
  <si>
    <t xml:space="preserve">Las dos pistas se activan con chips visibles en Adivinar, sin abrir Ajustes.</t>
  </si>
  <si>
    <t xml:space="preserve">Con las dos pistas activas equivale a «busca esta nota en esta cuerda»; sin ninguna, a «adivina de oído».</t>
  </si>
  <si>
    <t xml:space="preserve">J-07</t>
  </si>
  <si>
    <t xml:space="preserve">Contador de racha visible durante el juego.</t>
  </si>
  <si>
    <t xml:space="preserve">La racha sube con cada acierto y vuelve a 0 con cada fallo.</t>
  </si>
  <si>
    <t xml:space="preserve">Banco 0.1.2 (DOM simulado): acierto y fallo</t>
  </si>
  <si>
    <t xml:space="preserve">J-08</t>
  </si>
  <si>
    <t xml:space="preserve">El récord de racha más larga persiste entre sesiones.</t>
  </si>
  <si>
    <t xml:space="preserve">El récord persiste tras recargar la página.</t>
  </si>
  <si>
    <t xml:space="preserve">Banco 0.1.2 (DOM simulado): récord guardado · F1.1 #13</t>
  </si>
  <si>
    <t xml:space="preserve">localStorage. No funciona en las previsualizaciones de artefactos; probar en local o en la web.</t>
  </si>
  <si>
    <t xml:space="preserve">J-09</t>
  </si>
  <si>
    <t xml:space="preserve">Feedback visual inmediato de acierto y de error.</t>
  </si>
  <si>
    <t xml:space="preserve">Acierto y fallo se distinguen al instante por color y destello.</t>
  </si>
  <si>
    <t xml:space="preserve">F1.1 #9</t>
  </si>
  <si>
    <t xml:space="preserve">Color en la posición pulsada y destello en la barra del reto.</t>
  </si>
  <si>
    <t xml:space="preserve">J-10</t>
  </si>
  <si>
    <t xml:space="preserve">Al fallar se indica cuál era la posición correcta.</t>
  </si>
  <si>
    <t xml:space="preserve">Tras un fallo se iluminan todas las posiciones correctas, suena la nota buscada y llega un reto nuevo limpio.</t>
  </si>
  <si>
    <t xml:space="preserve">Banco 0.1.2 (DOM simulado): 7 comprobaciones · F1.1 #9</t>
  </si>
  <si>
    <t xml:space="preserve">El fallo rompe la racha siempre. Se iluminan todas las posiciones correctas y se vuelve a oír la nota buscada justo después de la pulsada, para aprender por contraste; luego llega el reto siguiente.</t>
  </si>
  <si>
    <t xml:space="preserve">J-11</t>
  </si>
  <si>
    <t xml:space="preserve">Definir si el récord es único o independiente por afinación.</t>
  </si>
  <si>
    <t xml:space="preserve">F4</t>
  </si>
  <si>
    <t xml:space="preserve">F4.4</t>
  </si>
  <si>
    <t xml:space="preserve">La decisión queda anotada en requisitos.md.</t>
  </si>
  <si>
    <t xml:space="preserve">Hoy es único y global: una racha en DADGAD compite con una en estándar aunque la dificultad no sea comparable.</t>
  </si>
  <si>
    <t xml:space="preserve">J-12</t>
  </si>
  <si>
    <t xml:space="preserve">Los ajustes que revelan la respuesta —ver todas las notas— no se aplican en Adivinar.</t>
  </si>
  <si>
    <t xml:space="preserve">Revisión de código 0.1.2</t>
  </si>
  <si>
    <t xml:space="preserve">Con «Ver todas las notas» activo, Adivinar no muestra los nombres.</t>
  </si>
  <si>
    <t xml:space="preserve">Banco 0.1.2 (DOM simulado) · F1.1 #10</t>
  </si>
  <si>
    <t xml:space="preserve">Encontrado al revisar el código: con «ver todas las notas» activo, el juego mostraba la solución.</t>
  </si>
  <si>
    <t xml:space="preserve">E-01</t>
  </si>
  <si>
    <t xml:space="preserve">Escalas</t>
  </si>
  <si>
    <t xml:space="preserve">Selección de escala a practicar (tónica + tipo).</t>
  </si>
  <si>
    <t xml:space="preserve">F5.2</t>
  </si>
  <si>
    <t xml:space="preserve">Se puede elegir tónica y tipo de escala entre el catálogo aprobado.</t>
  </si>
  <si>
    <t xml:space="preserve">Catálogo inicial por decidir.</t>
  </si>
  <si>
    <t xml:space="preserve">E-02</t>
  </si>
  <si>
    <t xml:space="preserve">El generador de escalas opera solo en afinación estándar en la primera entrega.</t>
  </si>
  <si>
    <t xml:space="preserve">Para cada tónica y tipo, las posiciones generadas coinciden con una referencia externa en afinación estándar.</t>
  </si>
  <si>
    <t xml:space="preserve">Alcance acotado. Las demás afinaciones pasan a E-02b.</t>
  </si>
  <si>
    <t xml:space="preserve">E-02b</t>
  </si>
  <si>
    <t xml:space="preserve">Escalas en afinaciones alternativas y variantes de digitación (por ejemplo, escala en octavas).</t>
  </si>
  <si>
    <t xml:space="preserve">Posterior</t>
  </si>
  <si>
    <t xml:space="preserve">N/A</t>
  </si>
  <si>
    <t xml:space="preserve">Fuera del alcance actual.</t>
  </si>
  <si>
    <t xml:space="preserve">No aplica</t>
  </si>
  <si>
    <t xml:space="preserve">Fuera del alcance de F5.</t>
  </si>
  <si>
    <t xml:space="preserve">E-03</t>
  </si>
  <si>
    <t xml:space="preserve">Submodo Mostrar: la app ilumina las notas que componen la escala.</t>
  </si>
  <si>
    <t xml:space="preserve">Mostrar ilumina únicamente las notas de la escala.</t>
  </si>
  <si>
    <t xml:space="preserve">E-04</t>
  </si>
  <si>
    <t xml:space="preserve">En Mostrar se indica el nombre de cada nota y su separación interválica respecto a la anterior.</t>
  </si>
  <si>
    <t xml:space="preserve">Cada nota iluminada muestra su nombre y el intervalo T o ST respecto al grado anterior.</t>
  </si>
  <si>
    <t xml:space="preserve">Etiquetas tipo T — T — ST — T — T — T — ST.</t>
  </si>
  <si>
    <t xml:space="preserve">E-05</t>
  </si>
  <si>
    <t xml:space="preserve">Submodo Práctica: valida solo la pertenencia de la nota a la escala; al pulsar una ajena, marca error e ilumina las correctas.</t>
  </si>
  <si>
    <t xml:space="preserve">F5.4</t>
  </si>
  <si>
    <t xml:space="preserve">En Práctica, una nota ajena marca error e ilumina las correctas; una nota de la escala no marca error.</t>
  </si>
  <si>
    <t xml:space="preserve">Alcance acotado: no valida orden ni digitación.</t>
  </si>
  <si>
    <t xml:space="preserve">E-05b</t>
  </si>
  <si>
    <t xml:space="preserve">Validación del orden de la escala y de patrones de digitación concretos.</t>
  </si>
  <si>
    <t xml:space="preserve">E-06</t>
  </si>
  <si>
    <t xml:space="preserve">Guiado nota a nota en el submodo Mostrar.</t>
  </si>
  <si>
    <t xml:space="preserve">El guiado avanza nota a nota por la escala.</t>
  </si>
  <si>
    <t xml:space="preserve">A-01</t>
  </si>
  <si>
    <t xml:space="preserve">Afinador</t>
  </si>
  <si>
    <t xml:space="preserve">Afinador por referencia: la app reproduce la nota de cada cuerda para afinar de oído.</t>
  </si>
  <si>
    <t xml:space="preserve">Pulsar cada cuerda en el afinador reproduce su nota de referencia.</t>
  </si>
  <si>
    <t xml:space="preserve">El MVP real del afinador.</t>
  </si>
  <si>
    <t xml:space="preserve">A-02</t>
  </si>
  <si>
    <t xml:space="preserve">Afinador por micrófono: capta la cuerda e indica si subir o bajar.</t>
  </si>
  <si>
    <t xml:space="preserve">F4.3</t>
  </si>
  <si>
    <t xml:space="preserve">Con una guitarra real, el afinador indica subir o bajar hasta dejarla afinada, en estándar y en una alternativa.</t>
  </si>
  <si>
    <t xml:space="preserve">Exige contexto seguro: funciona en https y en localhost. No funciona con file:// ni desde el móvil por WiFi contra el Live Server del ordenador (http://192.168… no es contexto seguro). En el móvil llega con la publicación (F7.2).</t>
  </si>
  <si>
    <t xml:space="preserve">A-02-CA</t>
  </si>
  <si>
    <t xml:space="preserve">Criterios de aceptación de A-02: precisión de detección ±2 cents en silencio razonable, latencia menor de 300 ms; el ruido de fondo queda fuera de la primera entrega.</t>
  </si>
  <si>
    <t xml:space="preserve">F4.2</t>
  </si>
  <si>
    <t xml:space="preserve">Banco de pruebas: error ≤ ±2 cents y latencia &lt; 300 ms sobre muestras desafinadas una cantidad conocida.</t>
  </si>
  <si>
    <t xml:space="preserve">La precisión de detección debe ser mejor que el umbral de «afinado» de A-03.</t>
  </si>
  <si>
    <t xml:space="preserve">A-03</t>
  </si>
  <si>
    <t xml:space="preserve">Indicador de desviación en cents, con umbral de afinado en ±5 cents.</t>
  </si>
  <si>
    <t xml:space="preserve">La aguja indica la desviación en cents y marca «afinado» dentro de ±5 cents.</t>
  </si>
  <si>
    <t xml:space="preserve">A-04</t>
  </si>
  <si>
    <t xml:space="preserve">Detección automática de cuerda por proximidad a la nota detectada.</t>
  </si>
  <si>
    <t xml:space="preserve">Con la cuerda a menos de un semitono de su nota, el afinador identifica la cuerda correcta.</t>
  </si>
  <si>
    <t xml:space="preserve">Limitación asumida: con una cuerda muy desafinada puede elegir la equivocada.</t>
  </si>
  <si>
    <t xml:space="preserve">A-05</t>
  </si>
  <si>
    <t xml:space="preserve">Selección manual de cuerda, que prevalece sobre A-04.</t>
  </si>
  <si>
    <t xml:space="preserve">Con una cuerda fijada a mano, el afinador la usa como referencia aunque esté muy desafinada.</t>
  </si>
  <si>
    <t xml:space="preserve">Resuelve la limitación anterior.</t>
  </si>
  <si>
    <t xml:space="preserve">A-06</t>
  </si>
  <si>
    <t xml:space="preserve">Afinación estándar (E A D G B E).</t>
  </si>
  <si>
    <t xml:space="preserve">La afinación estándar es E2 A2 D3 G3 B3 E4.</t>
  </si>
  <si>
    <t xml:space="preserve">A-07</t>
  </si>
  <si>
    <t xml:space="preserve">Cinco afinaciones alternativas predefinidas: Drop D, medio tono abajo, Open G, Open D y DADGAD.</t>
  </si>
  <si>
    <t xml:space="preserve">Existen Drop D, medio tono abajo, Open G, Open D y DADGAD con sus notas correctas.</t>
  </si>
  <si>
    <t xml:space="preserve">A-08</t>
  </si>
  <si>
    <t xml:space="preserve">Afinación personalizada ajustando cada cuerda por semitonos.</t>
  </si>
  <si>
    <t xml:space="preserve">Los botones +/− mueven la cuerda un semitono y pasan a Personalizada sin alterar los presets.</t>
  </si>
  <si>
    <t xml:space="preserve">F1.1 #4</t>
  </si>
  <si>
    <t xml:space="preserve">Cualquier ajuste convierte la afinación en personalizada sin alterar los presets.</t>
  </si>
  <si>
    <t xml:space="preserve">A-09</t>
  </si>
  <si>
    <t xml:space="preserve">Al seleccionar una afinación se muestran sus notas en un pentagrama.</t>
  </si>
  <si>
    <t xml:space="preserve">El pentagrama del afinador refleja la afinación seleccionada.</t>
  </si>
  <si>
    <t xml:space="preserve">Ver P-04.</t>
  </si>
  <si>
    <t xml:space="preserve">A-10</t>
  </si>
  <si>
    <t xml:space="preserve">La afinación activa se aplica también a los modos de aprendizaje.</t>
  </si>
  <si>
    <t xml:space="preserve">Al cambiar de afinación, el mástil y los retos se rehacen con las nuevas notas.</t>
  </si>
  <si>
    <t xml:space="preserve">Ninguna nota está escrita a mano: todas derivan de la afinación activa, y la propagación ocurre en un único punto del código.</t>
  </si>
  <si>
    <t xml:space="preserve">A-11</t>
  </si>
  <si>
    <t xml:space="preserve">La afinación persiste entre sesiones.</t>
  </si>
  <si>
    <t xml:space="preserve">Tras recargar se mantiene la afinación, incluida la personalizada.</t>
  </si>
  <si>
    <t xml:space="preserve">V-01</t>
  </si>
  <si>
    <t xml:space="preserve">Visualización</t>
  </si>
  <si>
    <t xml:space="preserve">En móvil se sugiere la orientación horizontal con un aviso discreto; no se fuerza.</t>
  </si>
  <si>
    <t xml:space="preserve">F3.2</t>
  </si>
  <si>
    <t xml:space="preserve">En un móvil apaisado cada cuerda mide al menos 40 px, y en vertical aparece el aviso para girar.</t>
  </si>
  <si>
    <t xml:space="preserve">El bloqueo de orientación tiene mal soporte en iOS. Menos trastes visibles en vertical es la solución adoptada. Falta el aviso y un diseño apaisado que dé altura a las cuerdas.</t>
  </si>
  <si>
    <t xml:space="preserve">V-02</t>
  </si>
  <si>
    <t xml:space="preserve">El afinador funciona en vertical y en horizontal.</t>
  </si>
  <si>
    <t xml:space="preserve">El afinador se usa con comodidad en vertical y en horizontal.</t>
  </si>
  <si>
    <t xml:space="preserve">V-03</t>
  </si>
  <si>
    <t xml:space="preserve">En escritorio el mástil aprovecha el ancho disponible.</t>
  </si>
  <si>
    <t xml:space="preserve">En una pantalla de 1280 px se ven los 24 trastes sin desplazarse.</t>
  </si>
  <si>
    <t xml:space="preserve">Arranca mostrando el mástil completo en pantallas anchas.</t>
  </si>
  <si>
    <t xml:space="preserve">V-04</t>
  </si>
  <si>
    <t xml:space="preserve">Control de zoom que determina qué porción del mástil se ve.</t>
  </si>
  <si>
    <t xml:space="preserve">El zoom cambia los trastes visibles entre 3 y el máximo que cabe, y la etiqueta dice la cifra real.</t>
  </si>
  <si>
    <t xml:space="preserve">F1.1 #7 y #8</t>
  </si>
  <si>
    <t xml:space="preserve">De 3 a 24 trastes a la vista. Desde 0.1.1 la etiqueta indica los trastes que caben de verdad, y el zoom conserva el tramo que estabas mirando.</t>
  </si>
  <si>
    <t xml:space="preserve">V-05</t>
  </si>
  <si>
    <t xml:space="preserve">Cuando el mástil no cabe, el usuario se desplaza lateralmente.</t>
  </si>
  <si>
    <t xml:space="preserve">Con el mástil más ancho que la pantalla se puede desplazar hasta el traste 24.</t>
  </si>
  <si>
    <t xml:space="preserve">V-06</t>
  </si>
  <si>
    <t xml:space="preserve">El ancho de traste no cambia al desplazarse: el zoom fija el tamaño y el desplazamiento mueve la ventana.</t>
  </si>
  <si>
    <t xml:space="preserve">Desplazarse no cambia el ancho de los trastes.</t>
  </si>
  <si>
    <t xml:space="preserve">V-07</t>
  </si>
  <si>
    <t xml:space="preserve">El mástil se readapta al redimensionar la ventana.</t>
  </si>
  <si>
    <t xml:space="preserve">Al redimensionar la ventana el mástil se reajusta sin perder el tramo visible.</t>
  </si>
  <si>
    <t xml:space="preserve">V-08</t>
  </si>
  <si>
    <t xml:space="preserve">El nivel de zoom persiste entre sesiones.</t>
  </si>
  <si>
    <t xml:space="preserve">Baja</t>
  </si>
  <si>
    <t xml:space="preserve">El zoom se mantiene tras recargar y tras girar el móvil.</t>
  </si>
  <si>
    <t xml:space="preserve">Desde 0.1.1 girar el móvil ya no pisa el zoom elegido.</t>
  </si>
  <si>
    <t xml:space="preserve">V-09</t>
  </si>
  <si>
    <t xml:space="preserve">Al ocultar la numeración se puede conservar una referencia de tramo: el modo «Guía» deja solo los números de los trastes con marca.</t>
  </si>
  <si>
    <t xml:space="preserve">El modo Guía mantiene visibles solo los números de los trastes con marca.</t>
  </si>
  <si>
    <t xml:space="preserve">Sin números, los trastes 5 y 17 llevan la misma marca y se confunden. Se descartó el minimapa por desproporcionado.</t>
  </si>
  <si>
    <t xml:space="preserve">C-01</t>
  </si>
  <si>
    <t xml:space="preserve">Configuración y navegación</t>
  </si>
  <si>
    <t xml:space="preserve">Menú de configuración accesible desde cualquier pantalla.</t>
  </si>
  <si>
    <t xml:space="preserve">El botón de Ajustes abre el panel desde cualquier pantalla y Escape lo cierra.</t>
  </si>
  <si>
    <t xml:space="preserve">Panel deslizante desde la cabecera.</t>
  </si>
  <si>
    <t xml:space="preserve">C-02</t>
  </si>
  <si>
    <t xml:space="preserve">El menú contiene nomenclatura, pentagrama, timbre, numeración de trastes (tres modos), ver todas las notas, señalar iguales y afinación activa, y muestra la versión de la app.</t>
  </si>
  <si>
    <t xml:space="preserve">El panel contiene todos los ajustes listados y la versión de la app.</t>
  </si>
  <si>
    <t xml:space="preserve">F1.1 #12</t>
  </si>
  <si>
    <t xml:space="preserve">Ampliado en 0.1.2 con la numeración en tres modos y la versión (G-10).</t>
  </si>
  <si>
    <t xml:space="preserve">C-03</t>
  </si>
  <si>
    <t xml:space="preserve">Los ajustes frecuentes tienen acceso rápido sin abrir el menú.</t>
  </si>
  <si>
    <t xml:space="preserve">Nomenclatura, pentagrama y pistas tienen chips de acceso rápido.</t>
  </si>
  <si>
    <t xml:space="preserve">Nomenclatura, pentagrama y las dos pistas del juego.</t>
  </si>
  <si>
    <t xml:space="preserve">C-04</t>
  </si>
  <si>
    <t xml:space="preserve">Navegación principal clara entre las áreas de la app.</t>
  </si>
  <si>
    <t xml:space="preserve">La barra inferior lleva a cada área con un toque.</t>
  </si>
  <si>
    <t xml:space="preserve">Barra inferior con cuatro destinos.</t>
  </si>
  <si>
    <t xml:space="preserve">C-05</t>
  </si>
  <si>
    <t xml:space="preserve">Todos los ajustes persisten entre sesiones.</t>
  </si>
  <si>
    <t xml:space="preserve">Todos los ajustes persisten tras recargar, y unos ajustes corruptos o antiguos no rompen la app.</t>
  </si>
  <si>
    <t xml:space="preserve">Banco 0.1.2 (DOM simulado): migración · F1.1 #13</t>
  </si>
  <si>
    <t xml:space="preserve">Un único objeto de estado, validado campo a campo al leerlo (0.1.1).</t>
  </si>
  <si>
    <t xml:space="preserve">C-06</t>
  </si>
  <si>
    <t xml:space="preserve">Especificación detallada de la interfaz: estructura de menús, jerarquía de controles y flujos de navegación.</t>
  </si>
  <si>
    <t xml:space="preserve">F3.1</t>
  </si>
  <si>
    <t xml:space="preserve">interfaz.md aprobado por el cliente y revisado por el auditor de requisitos.</t>
  </si>
  <si>
    <t xml:space="preserve">Bloqueante de F3.2 y de toda F5. Requiere sesión dedicada.</t>
  </si>
  <si>
    <t xml:space="preserve">X-01</t>
  </si>
  <si>
    <t xml:space="preserve">Respaldo y publicación</t>
  </si>
  <si>
    <t xml:space="preserve">El código y la documentación están respaldados en el repositorio remoto (GitHub). Respaldar no es publicar.</t>
  </si>
  <si>
    <t xml:space="preserve">F1.2 · F1.4</t>
  </si>
  <si>
    <t xml:space="preserve">GitHub muestra la última versión y la etiqueta de cierre de fase.</t>
  </si>
  <si>
    <t xml:space="preserve">0.0.1</t>
  </si>
  <si>
    <t xml:space="preserve">El repositorio existe con la versión 0.0.1. Falta subir la 0.1.2 y llevar los documentos a docs/.</t>
  </si>
  <si>
    <t xml:space="preserve">X-02</t>
  </si>
  <si>
    <t xml:space="preserve">La app está publicada en una URL pública (GitHub Pages).</t>
  </si>
  <si>
    <t xml:space="preserve">F7.1</t>
  </si>
  <si>
    <t xml:space="preserve">La URL pública carga la app desde un dispositivo ajeno al proyecto.</t>
  </si>
  <si>
    <t xml:space="preserve">Antes en V1; pasa a la última fase por decisión del 15/09: desarrollo local de principio a fin.</t>
  </si>
  <si>
    <t xml:space="preserve">X-03</t>
  </si>
  <si>
    <t xml:space="preserve">La app está verificada en móviles reales, instalada como icono desde la web publicada.</t>
  </si>
  <si>
    <t xml:space="preserve">F7.2</t>
  </si>
  <si>
    <t xml:space="preserve">La app instalada desde la web funciona en un Android, un iPhone y un Windows reales.</t>
  </si>
  <si>
    <t xml:space="preserve">Cierra G-04 y PL-01 a PL-03 en su modo web.</t>
  </si>
  <si>
    <t xml:space="preserve">Resumen de cumplimiento</t>
  </si>
  <si>
    <t xml:space="preserve">Todas las cifras son fórmulas sobre la hoja Matriz: cambian solas al actualizar una declaración o un estado. Un requisito asignado a dos fases cuenta en las dos; el total cuenta cada requisito una vez.</t>
  </si>
  <si>
    <t xml:space="preserve">Requisitos</t>
  </si>
  <si>
    <t xml:space="preserve">% que cumple</t>
  </si>
  <si>
    <t xml:space="preserve">Verificados</t>
  </si>
  <si>
    <t xml:space="preserve">Verificados parcialmente</t>
  </si>
  <si>
    <t xml:space="preserve">F1 · Base local verificada</t>
  </si>
  <si>
    <t xml:space="preserve">F2 · Sonido propio y archivo autónomo</t>
  </si>
  <si>
    <t xml:space="preserve">F3 · Interfaz y adaptación</t>
  </si>
  <si>
    <t xml:space="preserve">F4 · Afinador por micrófono</t>
  </si>
  <si>
    <t xml:space="preserve">F5 · Escalas</t>
  </si>
  <si>
    <t xml:space="preserve">F6 · Preparación para distribución</t>
  </si>
  <si>
    <t xml:space="preserve">F7 · Publicación y lanzamiento</t>
  </si>
  <si>
    <t xml:space="preserve">Posterior · fuera de alcance</t>
  </si>
  <si>
    <t xml:space="preserve">Total del producto</t>
  </si>
  <si>
    <t xml:space="preserve">Por método de verificación</t>
  </si>
  <si>
    <t xml:space="preserve">I · Inspección</t>
  </si>
  <si>
    <t xml:space="preserve">A · Análisis</t>
  </si>
  <si>
    <t xml:space="preserve">D · Demostración</t>
  </si>
  <si>
    <t xml:space="preserve">T · Prueba</t>
  </si>
  <si>
    <t xml:space="preserve">I+T · Inspección y prueba</t>
  </si>
  <si>
    <t xml:space="preserve">N/A · No aplica</t>
  </si>
  <si>
    <t xml:space="preserve">Qué es</t>
  </si>
  <si>
    <t xml:space="preserve">Matriz de cumplimiento de requisitos entre el cliente, que define qué debe hacer el producto, y el proveedor, que lo construye y declara su grado de cumplimiento. Los auditores verifican de forma independiente. Equivale a una matriz de verificación cruzada (VCRM) de ingeniería de sistemas.</t>
  </si>
  <si>
    <t xml:space="preserve">Roles</t>
  </si>
  <si>
    <t xml:space="preserve">Cliente: Pablo Díaz Guerra. Proveedor: chat de Desarrollo, o el agente desarrollador en el modo acelerado. Verificación independiente: auditor de requisitos y auditor técnico.</t>
  </si>
  <si>
    <t xml:space="preserve">Qué celdas editas tú</t>
  </si>
  <si>
    <t xml:space="preserve">La columna «Comentario del cliente», en amarillo. Las declaraciones y los estados los actualiza el proveedor en cada entrega; tú los aceptas o los discutes en tu comentario.</t>
  </si>
  <si>
    <t xml:space="preserve">Ejemplo de comentario del cliente</t>
  </si>
  <si>
    <t xml:space="preserve">Aceptado en Chrome. Repetir en Firefox antes de marcarlo como verificado.</t>
  </si>
  <si>
    <t xml:space="preserve">Método · I</t>
  </si>
  <si>
    <t xml:space="preserve">Inspección: se comprueba mirando el producto, el código o la documentación, sin ejecutar nada especial.</t>
  </si>
  <si>
    <t xml:space="preserve">Método · A</t>
  </si>
  <si>
    <t xml:space="preserve">Análisis: se comprueba con un cálculo o un razonamiento sobre todos los casos, por ejemplo el rango completo del pentagrama.</t>
  </si>
  <si>
    <t xml:space="preserve">Método · D</t>
  </si>
  <si>
    <t xml:space="preserve">Demostración: se usa la app y se observa que hace lo pedido.</t>
  </si>
  <si>
    <t xml:space="preserve">Método · T</t>
  </si>
  <si>
    <t xml:space="preserve">Prueba: se mide con un procedimiento repetible y un resultado esperado, normalmente el banco de pruebas automático.</t>
  </si>
  <si>
    <t xml:space="preserve">Cumple · Cumple parcialmente · No cumple (aún no implementado, planificado en su etapa) · No aplica (fuera de alcance).</t>
  </si>
  <si>
    <t xml:space="preserve">Verificado: superó su criterio de aceptación con el método indicado. Verificado parcialmente: hay evidencia, pero falta parte del método, por ejemplo la demostración en un navegador real. Pendiente: sin evidencia todavía.</t>
  </si>
  <si>
    <t xml:space="preserve">«Banco 0.1.2 (DOM simulado)» son las 28 pruebas automáticas ejecutadas sin navegador. «F1.1 #n» es la comprobación número n de la etapa F1.1 del roadmap.</t>
  </si>
  <si>
    <t xml:space="preserve">Regla de cierre</t>
  </si>
  <si>
    <t xml:space="preserve">Una etapa del roadmap se cierra cuando todos sus requisitos están en «Cumple» y «Verificado». En el modo acelerado esta regla es el criterio de parada de cada iteración automática.</t>
  </si>
  <si>
    <t xml:space="preserve">Versión</t>
  </si>
  <si>
    <t xml:space="preserve">Fecha</t>
  </si>
  <si>
    <t xml:space="preserve">App</t>
  </si>
  <si>
    <t xml:space="preserve">Cambios</t>
  </si>
  <si>
    <t xml:space="preserve">1.0</t>
  </si>
  <si>
    <t xml:space="preserve">14/10/2026</t>
  </si>
  <si>
    <t xml:space="preserve">v1.2</t>
  </si>
  <si>
    <t xml:space="preserve">Primera emisión. 90 requisitos con origen, método de verificación, criterio de aceptación, declaración del proveedor, evidencia y estado de verificación.</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</si>
</sst>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4"/>
      <color rgb="FF2A1D13"/>
      <name val="Arial"/>
      <family val="0"/>
      <charset val="1"/>
    </font>
    <font>
      <sz val="9"/>
      <color rgb="FF6A5947"/>
      <name val="Arial"/>
      <family val="0"/>
      <charset val="1"/>
    </font>
    <font>
      <b val="true"/>
      <sz val="10"/>
      <color rgb="FFFFFFFF"/>
      <name val="Arial"/>
      <family val="0"/>
      <charset val="1"/>
    </font>
    <font>
      <b val="true"/>
      <sz val="9"/>
      <name val="Arial"/>
      <family val="0"/>
      <charset val="1"/>
    </font>
    <font>
      <sz val="9"/>
      <name val="Arial"/>
      <family val="0"/>
      <charset val="1"/>
    </font>
    <font>
      <sz val="10"/>
      <name val="Arial"/>
      <family val="0"/>
      <charset val="1"/>
    </font>
    <font>
      <b val="true"/>
      <sz val="10"/>
      <name val="Arial"/>
      <family val="0"/>
      <charset val="1"/>
    </font>
    <font>
      <b val="true"/>
      <sz val="11"/>
      <name val="Arial"/>
      <family val="0"/>
      <charset val="1"/>
    </font>
  </fonts>
  <fills count="5">
    <fill>
      <patternFill patternType="none"/>
    </fill>
    <fill>
      <patternFill patternType="gray125"/>
    </fill>
    <fill>
      <patternFill patternType="solid">
        <fgColor rgb="FF2A1D13"/>
        <bgColor rgb="FF333333"/>
      </patternFill>
    </fill>
    <fill>
      <patternFill patternType="solid">
        <fgColor rgb="FFFFF7CC"/>
        <bgColor rgb="FFF8E7C2"/>
      </patternFill>
    </fill>
    <fill>
      <patternFill patternType="solid">
        <fgColor rgb="FFF3D9B5"/>
        <bgColor rgb="FFF8E7C2"/>
      </patternFill>
    </fill>
  </fills>
  <borders count="2">
    <border diagonalUp="false" diagonalDown="false">
      <left/>
      <right/>
      <top/>
      <bottom/>
      <diagonal/>
    </border>
    <border diagonalUp="false" diagonalDown="false">
      <left/>
      <right style="thin">
        <color rgb="FFD9CFC0"/>
      </right>
      <top/>
      <bottom style="thin">
        <color rgb="FFD9CF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2A1D13"/>
          <bgColor rgb="FF000000"/>
        </patternFill>
      </fill>
    </dxf>
    <dxf>
      <fill>
        <patternFill patternType="solid">
          <bgColor rgb="FF000000"/>
        </patternFill>
      </fill>
    </dxf>
    <dxf>
      <fill>
        <patternFill patternType="solid">
          <fgColor rgb="FFFFFFFF"/>
          <bgColor rgb="FF000000"/>
        </patternFill>
      </fill>
    </dxf>
    <dxf>
      <fill>
        <patternFill patternType="solid">
          <fgColor rgb="FFD6EFDF"/>
          <bgColor rgb="FF000000"/>
        </patternFill>
      </fill>
    </dxf>
    <dxf>
      <fill>
        <patternFill patternType="solid">
          <fgColor rgb="FFE3E8EE"/>
          <bgColor rgb="FF000000"/>
        </patternFill>
      </fill>
    </dxf>
    <dxf>
      <fill>
        <patternFill patternType="solid">
          <fgColor rgb="FFEDE7E1"/>
          <bgColor rgb="FF000000"/>
        </patternFill>
      </fill>
    </dxf>
    <dxf>
      <fill>
        <patternFill patternType="solid">
          <fgColor rgb="FFF8E7C2"/>
          <bgColor rgb="FF000000"/>
        </patternFill>
      </fill>
    </dxf>
    <dxf>
      <fill>
        <patternFill patternType="solid">
          <fgColor rgb="FFFFF7CC"/>
          <bgColor rgb="FF000000"/>
        </patternFill>
      </fill>
    </dxf>
    <dxf>
      <fill>
        <patternFill>
          <bgColor rgb="FFD6EFDF"/>
        </patternFill>
      </fill>
    </dxf>
    <dxf>
      <fill>
        <patternFill>
          <bgColor rgb="FFF8E7C2"/>
        </patternFill>
      </fill>
    </dxf>
    <dxf>
      <fill>
        <patternFill>
          <bgColor rgb="FFEDE7E1"/>
        </patternFill>
      </fill>
    </dxf>
    <dxf>
      <fill>
        <patternFill>
          <bgColor rgb="FFE3E8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FC0"/>
      <rgbColor rgb="FF808080"/>
      <rgbColor rgb="FF9999FF"/>
      <rgbColor rgb="FF993366"/>
      <rgbColor rgb="FFFFF7CC"/>
      <rgbColor rgb="FFE3E8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7E1"/>
      <rgbColor rgb="FFD6EFDF"/>
      <rgbColor rgb="FFF8E7C2"/>
      <rgbColor rgb="FF99CCFF"/>
      <rgbColor rgb="FFFF99CC"/>
      <rgbColor rgb="FFCC99FF"/>
      <rgbColor rgb="FFF3D9B5"/>
      <rgbColor rgb="FF3366FF"/>
      <rgbColor rgb="FF33CCCC"/>
      <rgbColor rgb="FF99CC00"/>
      <rgbColor rgb="FFFFCC00"/>
      <rgbColor rgb="FFFF9900"/>
      <rgbColor rgb="FFFF6600"/>
      <rgbColor rgb="FF6A5947"/>
      <rgbColor rgb="FF969696"/>
      <rgbColor rgb="FF003366"/>
      <rgbColor rgb="FF339966"/>
      <rgbColor rgb="FF003300"/>
      <rgbColor rgb="FF2A1D13"/>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46"/>
    <col collapsed="false" customWidth="true" hidden="false" outlineLevel="0" max="4" min="4" style="0" width="10"/>
    <col collapsed="false" customWidth="true" hidden="false" outlineLevel="0" max="5" min="5" style="0" width="18"/>
    <col collapsed="false" customWidth="true" hidden="false" outlineLevel="0" max="6" min="6" style="0" width="9"/>
    <col collapsed="false" customWidth="true" hidden="false" outlineLevel="0" max="7" min="7" style="0" width="13"/>
    <col collapsed="false" customWidth="true" hidden="false" outlineLevel="0" max="8" min="8" style="0" width="9"/>
    <col collapsed="false" customWidth="true" hidden="false" outlineLevel="0" max="9" min="9" style="0" width="48"/>
    <col collapsed="false" customWidth="true" hidden="false" outlineLevel="0" max="10" min="10" style="0" width="20"/>
    <col collapsed="false" customWidth="true" hidden="false" outlineLevel="0" max="11" min="11" style="0" width="10"/>
    <col collapsed="false" customWidth="true" hidden="false" outlineLevel="0" max="12" min="12" style="0" width="34"/>
    <col collapsed="false" customWidth="true" hidden="false" outlineLevel="0" max="13" min="13" style="0" width="21"/>
    <col collapsed="false" customWidth="true" hidden="false" outlineLevel="0" max="14" min="14" style="0" width="20"/>
    <col collapsed="false" customWidth="true" hidden="false" outlineLevel="0" max="15" min="15" style="0" width="44"/>
    <col collapsed="false" customWidth="true" hidden="false" outlineLevel="0" max="16" min="16" style="0" width="32"/>
    <col collapsed="false" customWidth="true" hidden="false" outlineLevel="0" max="17" min="17"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row>
    <row r="5" customFormat="false" ht="48" hidden="false" customHeight="true" outlineLevel="0" collapsed="false">
      <c r="A5" s="4" t="s">
        <v>19</v>
      </c>
      <c r="B5" s="5" t="s">
        <v>20</v>
      </c>
      <c r="C5" s="5" t="s">
        <v>21</v>
      </c>
      <c r="D5" s="5" t="s">
        <v>22</v>
      </c>
      <c r="E5" s="5" t="s">
        <v>23</v>
      </c>
      <c r="F5" s="5" t="s">
        <v>24</v>
      </c>
      <c r="G5" s="5" t="s">
        <v>25</v>
      </c>
      <c r="H5" s="5" t="s">
        <v>26</v>
      </c>
      <c r="I5" s="5" t="s">
        <v>27</v>
      </c>
      <c r="J5" s="5" t="s">
        <v>28</v>
      </c>
      <c r="K5" s="5" t="s">
        <v>29</v>
      </c>
      <c r="L5" s="5" t="s">
        <v>30</v>
      </c>
      <c r="M5" s="5" t="s">
        <v>31</v>
      </c>
      <c r="N5" s="5" t="s">
        <v>32</v>
      </c>
      <c r="O5" s="5" t="s">
        <v>33</v>
      </c>
      <c r="P5" s="6"/>
      <c r="Q5" s="5"/>
    </row>
    <row r="6" customFormat="false" ht="48" hidden="false" customHeight="true" outlineLevel="0" collapsed="false">
      <c r="A6" s="4" t="s">
        <v>34</v>
      </c>
      <c r="B6" s="5" t="s">
        <v>20</v>
      </c>
      <c r="C6" s="5" t="s">
        <v>35</v>
      </c>
      <c r="D6" s="5" t="s">
        <v>22</v>
      </c>
      <c r="E6" s="5" t="s">
        <v>23</v>
      </c>
      <c r="F6" s="5" t="s">
        <v>24</v>
      </c>
      <c r="G6" s="5" t="s">
        <v>25</v>
      </c>
      <c r="H6" s="5" t="s">
        <v>36</v>
      </c>
      <c r="I6" s="5" t="s">
        <v>37</v>
      </c>
      <c r="J6" s="5" t="s">
        <v>28</v>
      </c>
      <c r="K6" s="5" t="s">
        <v>29</v>
      </c>
      <c r="L6" s="5" t="s">
        <v>38</v>
      </c>
      <c r="M6" s="5" t="s">
        <v>31</v>
      </c>
      <c r="N6" s="5" t="s">
        <v>39</v>
      </c>
      <c r="O6" s="5" t="s">
        <v>40</v>
      </c>
      <c r="P6" s="6"/>
      <c r="Q6" s="5"/>
    </row>
    <row r="7" customFormat="false" ht="48" hidden="false" customHeight="true" outlineLevel="0" collapsed="false">
      <c r="A7" s="4" t="s">
        <v>41</v>
      </c>
      <c r="B7" s="5" t="s">
        <v>20</v>
      </c>
      <c r="C7" s="5" t="s">
        <v>42</v>
      </c>
      <c r="D7" s="5" t="s">
        <v>43</v>
      </c>
      <c r="E7" s="5" t="s">
        <v>23</v>
      </c>
      <c r="F7" s="5" t="s">
        <v>44</v>
      </c>
      <c r="G7" s="5" t="s">
        <v>45</v>
      </c>
      <c r="H7" s="5" t="s">
        <v>46</v>
      </c>
      <c r="I7" s="5" t="s">
        <v>47</v>
      </c>
      <c r="J7" s="5" t="s">
        <v>48</v>
      </c>
      <c r="K7" s="5" t="s">
        <v>49</v>
      </c>
      <c r="L7" s="5" t="s">
        <v>49</v>
      </c>
      <c r="M7" s="5" t="s">
        <v>31</v>
      </c>
      <c r="N7" s="5" t="s">
        <v>50</v>
      </c>
      <c r="O7" s="5" t="s">
        <v>51</v>
      </c>
      <c r="P7" s="6"/>
      <c r="Q7" s="5" t="s">
        <v>52</v>
      </c>
    </row>
    <row r="8" customFormat="false" ht="78" hidden="false" customHeight="true" outlineLevel="0" collapsed="false">
      <c r="A8" s="4" t="s">
        <v>53</v>
      </c>
      <c r="B8" s="5" t="s">
        <v>20</v>
      </c>
      <c r="C8" s="5" t="s">
        <v>54</v>
      </c>
      <c r="D8" s="5" t="s">
        <v>22</v>
      </c>
      <c r="E8" s="5" t="s">
        <v>23</v>
      </c>
      <c r="F8" s="5" t="s">
        <v>55</v>
      </c>
      <c r="G8" s="5" t="s">
        <v>56</v>
      </c>
      <c r="H8" s="5" t="s">
        <v>36</v>
      </c>
      <c r="I8" s="5" t="s">
        <v>57</v>
      </c>
      <c r="J8" s="5" t="s">
        <v>58</v>
      </c>
      <c r="K8" s="5" t="s">
        <v>29</v>
      </c>
      <c r="L8" s="5" t="s">
        <v>49</v>
      </c>
      <c r="M8" s="5" t="s">
        <v>31</v>
      </c>
      <c r="N8" s="5" t="s">
        <v>39</v>
      </c>
      <c r="O8" s="5" t="s">
        <v>59</v>
      </c>
      <c r="P8" s="6"/>
      <c r="Q8" s="5" t="s">
        <v>52</v>
      </c>
    </row>
    <row r="9" customFormat="false" ht="93" hidden="false" customHeight="true" outlineLevel="0" collapsed="false">
      <c r="A9" s="4" t="s">
        <v>60</v>
      </c>
      <c r="B9" s="5" t="s">
        <v>20</v>
      </c>
      <c r="C9" s="5" t="s">
        <v>61</v>
      </c>
      <c r="D9" s="5" t="s">
        <v>43</v>
      </c>
      <c r="E9" s="5" t="s">
        <v>62</v>
      </c>
      <c r="F9" s="5" t="s">
        <v>63</v>
      </c>
      <c r="G9" s="5" t="s">
        <v>64</v>
      </c>
      <c r="H9" s="5" t="s">
        <v>65</v>
      </c>
      <c r="I9" s="5" t="s">
        <v>66</v>
      </c>
      <c r="J9" s="5" t="s">
        <v>58</v>
      </c>
      <c r="K9" s="5" t="s">
        <v>67</v>
      </c>
      <c r="L9" s="5" t="s">
        <v>49</v>
      </c>
      <c r="M9" s="5" t="s">
        <v>31</v>
      </c>
      <c r="N9" s="5" t="s">
        <v>68</v>
      </c>
      <c r="O9" s="5" t="s">
        <v>69</v>
      </c>
      <c r="P9" s="6"/>
      <c r="Q9" s="5" t="s">
        <v>52</v>
      </c>
    </row>
    <row r="10" customFormat="false" ht="48" hidden="false" customHeight="true" outlineLevel="0" collapsed="false">
      <c r="A10" s="4" t="s">
        <v>70</v>
      </c>
      <c r="B10" s="5" t="s">
        <v>20</v>
      </c>
      <c r="C10" s="5" t="s">
        <v>71</v>
      </c>
      <c r="D10" s="5" t="s">
        <v>43</v>
      </c>
      <c r="E10" s="5" t="s">
        <v>62</v>
      </c>
      <c r="F10" s="5" t="s">
        <v>72</v>
      </c>
      <c r="G10" s="5" t="s">
        <v>73</v>
      </c>
      <c r="H10" s="5" t="s">
        <v>26</v>
      </c>
      <c r="I10" s="5" t="s">
        <v>74</v>
      </c>
      <c r="J10" s="5" t="s">
        <v>48</v>
      </c>
      <c r="K10" s="5" t="s">
        <v>49</v>
      </c>
      <c r="L10" s="5" t="s">
        <v>49</v>
      </c>
      <c r="M10" s="5" t="s">
        <v>31</v>
      </c>
      <c r="N10" s="5" t="s">
        <v>32</v>
      </c>
      <c r="O10" s="5" t="s">
        <v>75</v>
      </c>
      <c r="P10" s="6"/>
      <c r="Q10" s="5"/>
    </row>
    <row r="11" customFormat="false" ht="78" hidden="false" customHeight="true" outlineLevel="0" collapsed="false">
      <c r="A11" s="4" t="s">
        <v>76</v>
      </c>
      <c r="B11" s="5" t="s">
        <v>20</v>
      </c>
      <c r="C11" s="5" t="s">
        <v>77</v>
      </c>
      <c r="D11" s="5" t="s">
        <v>22</v>
      </c>
      <c r="E11" s="5" t="s">
        <v>78</v>
      </c>
      <c r="F11" s="5" t="s">
        <v>79</v>
      </c>
      <c r="G11" s="5" t="s">
        <v>80</v>
      </c>
      <c r="H11" s="5" t="s">
        <v>46</v>
      </c>
      <c r="I11" s="5" t="s">
        <v>81</v>
      </c>
      <c r="J11" s="5" t="s">
        <v>58</v>
      </c>
      <c r="K11" s="5" t="s">
        <v>29</v>
      </c>
      <c r="L11" s="5" t="s">
        <v>49</v>
      </c>
      <c r="M11" s="5" t="s">
        <v>31</v>
      </c>
      <c r="N11" s="5" t="s">
        <v>50</v>
      </c>
      <c r="O11" s="5" t="s">
        <v>82</v>
      </c>
      <c r="P11" s="6"/>
      <c r="Q11" s="5" t="s">
        <v>83</v>
      </c>
    </row>
    <row r="12" customFormat="false" ht="78" hidden="false" customHeight="true" outlineLevel="0" collapsed="false">
      <c r="A12" s="4" t="s">
        <v>84</v>
      </c>
      <c r="B12" s="5" t="s">
        <v>20</v>
      </c>
      <c r="C12" s="5" t="s">
        <v>85</v>
      </c>
      <c r="D12" s="5" t="s">
        <v>43</v>
      </c>
      <c r="E12" s="5" t="s">
        <v>78</v>
      </c>
      <c r="F12" s="5" t="s">
        <v>86</v>
      </c>
      <c r="G12" s="5" t="s">
        <v>87</v>
      </c>
      <c r="H12" s="5" t="s">
        <v>46</v>
      </c>
      <c r="I12" s="5" t="s">
        <v>88</v>
      </c>
      <c r="J12" s="5" t="s">
        <v>58</v>
      </c>
      <c r="K12" s="5" t="s">
        <v>29</v>
      </c>
      <c r="L12" s="5" t="s">
        <v>49</v>
      </c>
      <c r="M12" s="5" t="s">
        <v>31</v>
      </c>
      <c r="N12" s="5" t="s">
        <v>50</v>
      </c>
      <c r="O12" s="5" t="s">
        <v>89</v>
      </c>
      <c r="P12" s="6"/>
      <c r="Q12" s="5" t="s">
        <v>83</v>
      </c>
    </row>
    <row r="13" customFormat="false" ht="63" hidden="false" customHeight="true" outlineLevel="0" collapsed="false">
      <c r="A13" s="4" t="s">
        <v>90</v>
      </c>
      <c r="B13" s="5" t="s">
        <v>20</v>
      </c>
      <c r="C13" s="5" t="s">
        <v>91</v>
      </c>
      <c r="D13" s="5" t="s">
        <v>43</v>
      </c>
      <c r="E13" s="5" t="s">
        <v>92</v>
      </c>
      <c r="F13" s="5" t="s">
        <v>93</v>
      </c>
      <c r="G13" s="5" t="s">
        <v>94</v>
      </c>
      <c r="H13" s="5" t="s">
        <v>26</v>
      </c>
      <c r="I13" s="5" t="s">
        <v>95</v>
      </c>
      <c r="J13" s="5" t="s">
        <v>48</v>
      </c>
      <c r="K13" s="5" t="s">
        <v>49</v>
      </c>
      <c r="L13" s="5" t="s">
        <v>49</v>
      </c>
      <c r="M13" s="5" t="s">
        <v>31</v>
      </c>
      <c r="N13" s="5" t="s">
        <v>32</v>
      </c>
      <c r="O13" s="5" t="s">
        <v>96</v>
      </c>
      <c r="P13" s="6"/>
      <c r="Q13" s="5" t="s">
        <v>83</v>
      </c>
    </row>
    <row r="14" customFormat="false" ht="63" hidden="false" customHeight="true" outlineLevel="0" collapsed="false">
      <c r="A14" s="4" t="s">
        <v>97</v>
      </c>
      <c r="B14" s="5" t="s">
        <v>20</v>
      </c>
      <c r="C14" s="5" t="s">
        <v>98</v>
      </c>
      <c r="D14" s="5" t="s">
        <v>22</v>
      </c>
      <c r="E14" s="5" t="s">
        <v>92</v>
      </c>
      <c r="F14" s="5" t="s">
        <v>24</v>
      </c>
      <c r="G14" s="5" t="s">
        <v>99</v>
      </c>
      <c r="H14" s="5" t="s">
        <v>26</v>
      </c>
      <c r="I14" s="5" t="s">
        <v>100</v>
      </c>
      <c r="J14" s="5" t="s">
        <v>28</v>
      </c>
      <c r="K14" s="5" t="s">
        <v>101</v>
      </c>
      <c r="L14" s="5" t="s">
        <v>102</v>
      </c>
      <c r="M14" s="5" t="s">
        <v>103</v>
      </c>
      <c r="N14" s="5" t="s">
        <v>32</v>
      </c>
      <c r="O14" s="5" t="s">
        <v>104</v>
      </c>
      <c r="P14" s="6"/>
      <c r="Q14" s="5" t="s">
        <v>83</v>
      </c>
    </row>
    <row r="15" customFormat="false" ht="63" hidden="false" customHeight="true" outlineLevel="0" collapsed="false">
      <c r="A15" s="4" t="s">
        <v>105</v>
      </c>
      <c r="B15" s="5" t="s">
        <v>20</v>
      </c>
      <c r="C15" s="5" t="s">
        <v>106</v>
      </c>
      <c r="D15" s="5" t="s">
        <v>22</v>
      </c>
      <c r="E15" s="5" t="s">
        <v>107</v>
      </c>
      <c r="F15" s="5" t="s">
        <v>44</v>
      </c>
      <c r="G15" s="5" t="s">
        <v>108</v>
      </c>
      <c r="H15" s="5" t="s">
        <v>26</v>
      </c>
      <c r="I15" s="5" t="s">
        <v>109</v>
      </c>
      <c r="J15" s="5" t="s">
        <v>48</v>
      </c>
      <c r="K15" s="5" t="s">
        <v>49</v>
      </c>
      <c r="L15" s="5" t="s">
        <v>49</v>
      </c>
      <c r="M15" s="5" t="s">
        <v>31</v>
      </c>
      <c r="N15" s="5" t="s">
        <v>32</v>
      </c>
      <c r="O15" s="5" t="s">
        <v>110</v>
      </c>
      <c r="P15" s="6"/>
      <c r="Q15" s="5" t="s">
        <v>83</v>
      </c>
    </row>
    <row r="16" customFormat="false" ht="48" hidden="false" customHeight="true" outlineLevel="0" collapsed="false">
      <c r="A16" s="4" t="s">
        <v>111</v>
      </c>
      <c r="B16" s="5" t="s">
        <v>112</v>
      </c>
      <c r="C16" s="5" t="s">
        <v>113</v>
      </c>
      <c r="D16" s="5" t="s">
        <v>22</v>
      </c>
      <c r="E16" s="5" t="s">
        <v>92</v>
      </c>
      <c r="F16" s="5" t="s">
        <v>114</v>
      </c>
      <c r="G16" s="5" t="s">
        <v>115</v>
      </c>
      <c r="H16" s="5" t="s">
        <v>36</v>
      </c>
      <c r="I16" s="5" t="s">
        <v>116</v>
      </c>
      <c r="J16" s="5" t="s">
        <v>58</v>
      </c>
      <c r="K16" s="5" t="s">
        <v>29</v>
      </c>
      <c r="L16" s="5" t="s">
        <v>49</v>
      </c>
      <c r="M16" s="5" t="s">
        <v>31</v>
      </c>
      <c r="N16" s="5" t="s">
        <v>39</v>
      </c>
      <c r="O16" s="5" t="s">
        <v>117</v>
      </c>
      <c r="P16" s="6"/>
      <c r="Q16" s="5" t="s">
        <v>83</v>
      </c>
    </row>
    <row r="17" customFormat="false" ht="48" hidden="false" customHeight="true" outlineLevel="0" collapsed="false">
      <c r="A17" s="4" t="s">
        <v>118</v>
      </c>
      <c r="B17" s="5" t="s">
        <v>112</v>
      </c>
      <c r="C17" s="5" t="s">
        <v>119</v>
      </c>
      <c r="D17" s="5" t="s">
        <v>22</v>
      </c>
      <c r="E17" s="5" t="s">
        <v>92</v>
      </c>
      <c r="F17" s="5" t="s">
        <v>114</v>
      </c>
      <c r="G17" s="5" t="s">
        <v>115</v>
      </c>
      <c r="H17" s="5" t="s">
        <v>36</v>
      </c>
      <c r="I17" s="5" t="s">
        <v>120</v>
      </c>
      <c r="J17" s="5" t="s">
        <v>58</v>
      </c>
      <c r="K17" s="5" t="s">
        <v>29</v>
      </c>
      <c r="L17" s="5" t="s">
        <v>49</v>
      </c>
      <c r="M17" s="5" t="s">
        <v>31</v>
      </c>
      <c r="N17" s="5" t="s">
        <v>39</v>
      </c>
      <c r="O17" s="5" t="s">
        <v>121</v>
      </c>
      <c r="P17" s="6"/>
      <c r="Q17" s="5" t="s">
        <v>83</v>
      </c>
    </row>
    <row r="18" customFormat="false" ht="108" hidden="false" customHeight="true" outlineLevel="0" collapsed="false">
      <c r="A18" s="4" t="s">
        <v>122</v>
      </c>
      <c r="B18" s="5" t="s">
        <v>112</v>
      </c>
      <c r="C18" s="5" t="s">
        <v>123</v>
      </c>
      <c r="D18" s="5" t="s">
        <v>22</v>
      </c>
      <c r="E18" s="5" t="s">
        <v>92</v>
      </c>
      <c r="F18" s="5" t="s">
        <v>114</v>
      </c>
      <c r="G18" s="5" t="s">
        <v>115</v>
      </c>
      <c r="H18" s="5" t="s">
        <v>36</v>
      </c>
      <c r="I18" s="5" t="s">
        <v>124</v>
      </c>
      <c r="J18" s="5" t="s">
        <v>58</v>
      </c>
      <c r="K18" s="5" t="s">
        <v>29</v>
      </c>
      <c r="L18" s="5" t="s">
        <v>49</v>
      </c>
      <c r="M18" s="5" t="s">
        <v>31</v>
      </c>
      <c r="N18" s="5" t="s">
        <v>39</v>
      </c>
      <c r="O18" s="5" t="s">
        <v>125</v>
      </c>
      <c r="P18" s="6"/>
      <c r="Q18" s="5" t="s">
        <v>83</v>
      </c>
    </row>
    <row r="19" customFormat="false" ht="33" hidden="false" customHeight="true" outlineLevel="0" collapsed="false">
      <c r="A19" s="4" t="s">
        <v>126</v>
      </c>
      <c r="B19" s="5" t="s">
        <v>127</v>
      </c>
      <c r="C19" s="5" t="s">
        <v>128</v>
      </c>
      <c r="D19" s="5" t="s">
        <v>22</v>
      </c>
      <c r="E19" s="5" t="s">
        <v>23</v>
      </c>
      <c r="F19" s="5" t="s">
        <v>24</v>
      </c>
      <c r="G19" s="5" t="s">
        <v>25</v>
      </c>
      <c r="H19" s="5" t="s">
        <v>36</v>
      </c>
      <c r="I19" s="5" t="s">
        <v>129</v>
      </c>
      <c r="J19" s="5" t="s">
        <v>28</v>
      </c>
      <c r="K19" s="5" t="s">
        <v>29</v>
      </c>
      <c r="L19" s="5" t="s">
        <v>130</v>
      </c>
      <c r="M19" s="5" t="s">
        <v>31</v>
      </c>
      <c r="N19" s="5" t="s">
        <v>39</v>
      </c>
      <c r="O19" s="5"/>
      <c r="P19" s="6"/>
      <c r="Q19" s="5"/>
    </row>
    <row r="20" customFormat="false" ht="33" hidden="false" customHeight="true" outlineLevel="0" collapsed="false">
      <c r="A20" s="4" t="s">
        <v>131</v>
      </c>
      <c r="B20" s="5" t="s">
        <v>127</v>
      </c>
      <c r="C20" s="5" t="s">
        <v>132</v>
      </c>
      <c r="D20" s="5" t="s">
        <v>22</v>
      </c>
      <c r="E20" s="5" t="s">
        <v>23</v>
      </c>
      <c r="F20" s="5" t="s">
        <v>24</v>
      </c>
      <c r="G20" s="5" t="s">
        <v>25</v>
      </c>
      <c r="H20" s="5" t="s">
        <v>36</v>
      </c>
      <c r="I20" s="5" t="s">
        <v>133</v>
      </c>
      <c r="J20" s="5" t="s">
        <v>28</v>
      </c>
      <c r="K20" s="5" t="s">
        <v>29</v>
      </c>
      <c r="L20" s="5" t="s">
        <v>30</v>
      </c>
      <c r="M20" s="5" t="s">
        <v>31</v>
      </c>
      <c r="N20" s="5" t="s">
        <v>39</v>
      </c>
      <c r="O20" s="5"/>
      <c r="P20" s="6"/>
      <c r="Q20" s="5"/>
    </row>
    <row r="21" customFormat="false" ht="33" hidden="false" customHeight="true" outlineLevel="0" collapsed="false">
      <c r="A21" s="4" t="s">
        <v>134</v>
      </c>
      <c r="B21" s="5" t="s">
        <v>127</v>
      </c>
      <c r="C21" s="5" t="s">
        <v>135</v>
      </c>
      <c r="D21" s="5" t="s">
        <v>22</v>
      </c>
      <c r="E21" s="5" t="s">
        <v>23</v>
      </c>
      <c r="F21" s="5" t="s">
        <v>24</v>
      </c>
      <c r="G21" s="5" t="s">
        <v>25</v>
      </c>
      <c r="H21" s="5" t="s">
        <v>36</v>
      </c>
      <c r="I21" s="5" t="s">
        <v>136</v>
      </c>
      <c r="J21" s="5" t="s">
        <v>28</v>
      </c>
      <c r="K21" s="5" t="s">
        <v>29</v>
      </c>
      <c r="L21" s="5" t="s">
        <v>30</v>
      </c>
      <c r="M21" s="5" t="s">
        <v>31</v>
      </c>
      <c r="N21" s="5" t="s">
        <v>39</v>
      </c>
      <c r="O21" s="5" t="s">
        <v>137</v>
      </c>
      <c r="P21" s="6"/>
      <c r="Q21" s="5"/>
    </row>
    <row r="22" customFormat="false" ht="33" hidden="false" customHeight="true" outlineLevel="0" collapsed="false">
      <c r="A22" s="4" t="s">
        <v>138</v>
      </c>
      <c r="B22" s="5" t="s">
        <v>127</v>
      </c>
      <c r="C22" s="5" t="s">
        <v>139</v>
      </c>
      <c r="D22" s="5" t="s">
        <v>22</v>
      </c>
      <c r="E22" s="5" t="s">
        <v>23</v>
      </c>
      <c r="F22" s="5" t="s">
        <v>24</v>
      </c>
      <c r="G22" s="5" t="s">
        <v>25</v>
      </c>
      <c r="H22" s="5" t="s">
        <v>36</v>
      </c>
      <c r="I22" s="5" t="s">
        <v>140</v>
      </c>
      <c r="J22" s="5" t="s">
        <v>28</v>
      </c>
      <c r="K22" s="5" t="s">
        <v>29</v>
      </c>
      <c r="L22" s="5" t="s">
        <v>130</v>
      </c>
      <c r="M22" s="5" t="s">
        <v>31</v>
      </c>
      <c r="N22" s="5" t="s">
        <v>39</v>
      </c>
      <c r="O22" s="5" t="s">
        <v>141</v>
      </c>
      <c r="P22" s="6"/>
      <c r="Q22" s="5"/>
    </row>
    <row r="23" customFormat="false" ht="33" hidden="false" customHeight="true" outlineLevel="0" collapsed="false">
      <c r="A23" s="4" t="s">
        <v>142</v>
      </c>
      <c r="B23" s="5" t="s">
        <v>127</v>
      </c>
      <c r="C23" s="5" t="s">
        <v>143</v>
      </c>
      <c r="D23" s="5" t="s">
        <v>43</v>
      </c>
      <c r="E23" s="5" t="s">
        <v>23</v>
      </c>
      <c r="F23" s="5" t="s">
        <v>24</v>
      </c>
      <c r="G23" s="5" t="s">
        <v>25</v>
      </c>
      <c r="H23" s="5" t="s">
        <v>36</v>
      </c>
      <c r="I23" s="5" t="s">
        <v>144</v>
      </c>
      <c r="J23" s="5" t="s">
        <v>28</v>
      </c>
      <c r="K23" s="5" t="s">
        <v>29</v>
      </c>
      <c r="L23" s="5" t="s">
        <v>145</v>
      </c>
      <c r="M23" s="5" t="s">
        <v>31</v>
      </c>
      <c r="N23" s="5" t="s">
        <v>39</v>
      </c>
      <c r="O23" s="5" t="s">
        <v>146</v>
      </c>
      <c r="P23" s="6"/>
      <c r="Q23" s="5"/>
    </row>
    <row r="24" customFormat="false" ht="33" hidden="false" customHeight="true" outlineLevel="0" collapsed="false">
      <c r="A24" s="4" t="s">
        <v>147</v>
      </c>
      <c r="B24" s="5" t="s">
        <v>148</v>
      </c>
      <c r="C24" s="5" t="s">
        <v>149</v>
      </c>
      <c r="D24" s="5" t="s">
        <v>22</v>
      </c>
      <c r="E24" s="5" t="s">
        <v>23</v>
      </c>
      <c r="F24" s="5" t="s">
        <v>24</v>
      </c>
      <c r="G24" s="5" t="s">
        <v>25</v>
      </c>
      <c r="H24" s="5" t="s">
        <v>26</v>
      </c>
      <c r="I24" s="5" t="s">
        <v>150</v>
      </c>
      <c r="J24" s="5" t="s">
        <v>28</v>
      </c>
      <c r="K24" s="5" t="s">
        <v>29</v>
      </c>
      <c r="L24" s="5" t="s">
        <v>151</v>
      </c>
      <c r="M24" s="5" t="s">
        <v>103</v>
      </c>
      <c r="N24" s="5" t="s">
        <v>32</v>
      </c>
      <c r="O24" s="5"/>
      <c r="P24" s="6"/>
      <c r="Q24" s="5"/>
    </row>
    <row r="25" customFormat="false" ht="33" hidden="false" customHeight="true" outlineLevel="0" collapsed="false">
      <c r="A25" s="4" t="s">
        <v>152</v>
      </c>
      <c r="B25" s="5" t="s">
        <v>148</v>
      </c>
      <c r="C25" s="5" t="s">
        <v>153</v>
      </c>
      <c r="D25" s="5" t="s">
        <v>22</v>
      </c>
      <c r="E25" s="5" t="s">
        <v>23</v>
      </c>
      <c r="F25" s="5" t="s">
        <v>24</v>
      </c>
      <c r="G25" s="5" t="s">
        <v>25</v>
      </c>
      <c r="H25" s="5" t="s">
        <v>36</v>
      </c>
      <c r="I25" s="5" t="s">
        <v>154</v>
      </c>
      <c r="J25" s="5" t="s">
        <v>28</v>
      </c>
      <c r="K25" s="5" t="s">
        <v>29</v>
      </c>
      <c r="L25" s="5" t="s">
        <v>155</v>
      </c>
      <c r="M25" s="5" t="s">
        <v>103</v>
      </c>
      <c r="N25" s="5" t="s">
        <v>39</v>
      </c>
      <c r="O25" s="5" t="s">
        <v>156</v>
      </c>
      <c r="P25" s="6"/>
      <c r="Q25" s="5"/>
    </row>
    <row r="26" customFormat="false" ht="48" hidden="false" customHeight="true" outlineLevel="0" collapsed="false">
      <c r="A26" s="4" t="s">
        <v>157</v>
      </c>
      <c r="B26" s="5" t="s">
        <v>148</v>
      </c>
      <c r="C26" s="5" t="s">
        <v>158</v>
      </c>
      <c r="D26" s="5" t="s">
        <v>22</v>
      </c>
      <c r="E26" s="5" t="s">
        <v>23</v>
      </c>
      <c r="F26" s="5" t="s">
        <v>24</v>
      </c>
      <c r="G26" s="5" t="s">
        <v>25</v>
      </c>
      <c r="H26" s="5" t="s">
        <v>26</v>
      </c>
      <c r="I26" s="5" t="s">
        <v>159</v>
      </c>
      <c r="J26" s="5" t="s">
        <v>28</v>
      </c>
      <c r="K26" s="5" t="s">
        <v>29</v>
      </c>
      <c r="L26" s="5" t="s">
        <v>160</v>
      </c>
      <c r="M26" s="5" t="s">
        <v>31</v>
      </c>
      <c r="N26" s="5" t="s">
        <v>32</v>
      </c>
      <c r="O26" s="5" t="s">
        <v>161</v>
      </c>
      <c r="P26" s="6"/>
      <c r="Q26" s="5"/>
    </row>
    <row r="27" customFormat="false" ht="48" hidden="false" customHeight="true" outlineLevel="0" collapsed="false">
      <c r="A27" s="4" t="s">
        <v>162</v>
      </c>
      <c r="B27" s="5" t="s">
        <v>148</v>
      </c>
      <c r="C27" s="5" t="s">
        <v>163</v>
      </c>
      <c r="D27" s="5" t="s">
        <v>43</v>
      </c>
      <c r="E27" s="5" t="s">
        <v>23</v>
      </c>
      <c r="F27" s="5" t="s">
        <v>24</v>
      </c>
      <c r="G27" s="5" t="s">
        <v>99</v>
      </c>
      <c r="H27" s="5" t="s">
        <v>46</v>
      </c>
      <c r="I27" s="5" t="s">
        <v>164</v>
      </c>
      <c r="J27" s="5" t="s">
        <v>28</v>
      </c>
      <c r="K27" s="5" t="s">
        <v>101</v>
      </c>
      <c r="L27" s="5" t="s">
        <v>165</v>
      </c>
      <c r="M27" s="5" t="s">
        <v>103</v>
      </c>
      <c r="N27" s="5" t="s">
        <v>50</v>
      </c>
      <c r="O27" s="5" t="s">
        <v>166</v>
      </c>
      <c r="P27" s="6"/>
      <c r="Q27" s="5" t="s">
        <v>52</v>
      </c>
    </row>
    <row r="28" customFormat="false" ht="33" hidden="false" customHeight="true" outlineLevel="0" collapsed="false">
      <c r="A28" s="4" t="s">
        <v>167</v>
      </c>
      <c r="B28" s="5" t="s">
        <v>148</v>
      </c>
      <c r="C28" s="5" t="s">
        <v>168</v>
      </c>
      <c r="D28" s="5" t="s">
        <v>22</v>
      </c>
      <c r="E28" s="5" t="s">
        <v>23</v>
      </c>
      <c r="F28" s="5" t="s">
        <v>24</v>
      </c>
      <c r="G28" s="5" t="s">
        <v>25</v>
      </c>
      <c r="H28" s="5" t="s">
        <v>36</v>
      </c>
      <c r="I28" s="5" t="s">
        <v>169</v>
      </c>
      <c r="J28" s="5" t="s">
        <v>28</v>
      </c>
      <c r="K28" s="5" t="s">
        <v>29</v>
      </c>
      <c r="L28" s="5" t="s">
        <v>170</v>
      </c>
      <c r="M28" s="5" t="s">
        <v>31</v>
      </c>
      <c r="N28" s="5" t="s">
        <v>39</v>
      </c>
      <c r="O28" s="5"/>
      <c r="P28" s="6"/>
      <c r="Q28" s="5"/>
    </row>
    <row r="29" customFormat="false" ht="33" hidden="false" customHeight="true" outlineLevel="0" collapsed="false">
      <c r="A29" s="4" t="s">
        <v>171</v>
      </c>
      <c r="B29" s="5" t="s">
        <v>148</v>
      </c>
      <c r="C29" s="5" t="s">
        <v>172</v>
      </c>
      <c r="D29" s="5" t="s">
        <v>22</v>
      </c>
      <c r="E29" s="5" t="s">
        <v>23</v>
      </c>
      <c r="F29" s="5" t="s">
        <v>24</v>
      </c>
      <c r="G29" s="5" t="s">
        <v>25</v>
      </c>
      <c r="H29" s="5" t="s">
        <v>36</v>
      </c>
      <c r="I29" s="5" t="s">
        <v>173</v>
      </c>
      <c r="J29" s="5" t="s">
        <v>28</v>
      </c>
      <c r="K29" s="5" t="s">
        <v>29</v>
      </c>
      <c r="L29" s="5" t="s">
        <v>30</v>
      </c>
      <c r="M29" s="5" t="s">
        <v>31</v>
      </c>
      <c r="N29" s="5" t="s">
        <v>39</v>
      </c>
      <c r="O29" s="5"/>
      <c r="P29" s="6"/>
      <c r="Q29" s="5"/>
    </row>
    <row r="30" customFormat="false" ht="33" hidden="false" customHeight="true" outlineLevel="0" collapsed="false">
      <c r="A30" s="4" t="s">
        <v>174</v>
      </c>
      <c r="B30" s="5" t="s">
        <v>148</v>
      </c>
      <c r="C30" s="5" t="s">
        <v>175</v>
      </c>
      <c r="D30" s="5" t="s">
        <v>43</v>
      </c>
      <c r="E30" s="5" t="s">
        <v>23</v>
      </c>
      <c r="F30" s="5" t="s">
        <v>24</v>
      </c>
      <c r="G30" s="5" t="s">
        <v>25</v>
      </c>
      <c r="H30" s="5" t="s">
        <v>26</v>
      </c>
      <c r="I30" s="5" t="s">
        <v>176</v>
      </c>
      <c r="J30" s="5" t="s">
        <v>28</v>
      </c>
      <c r="K30" s="5" t="s">
        <v>29</v>
      </c>
      <c r="L30" s="5" t="s">
        <v>30</v>
      </c>
      <c r="M30" s="5" t="s">
        <v>31</v>
      </c>
      <c r="N30" s="5" t="s">
        <v>32</v>
      </c>
      <c r="O30" s="5"/>
      <c r="P30" s="6"/>
      <c r="Q30" s="5"/>
    </row>
    <row r="31" customFormat="false" ht="48" hidden="false" customHeight="true" outlineLevel="0" collapsed="false">
      <c r="A31" s="4" t="s">
        <v>177</v>
      </c>
      <c r="B31" s="5" t="s">
        <v>178</v>
      </c>
      <c r="C31" s="5" t="s">
        <v>179</v>
      </c>
      <c r="D31" s="5" t="s">
        <v>22</v>
      </c>
      <c r="E31" s="5" t="s">
        <v>23</v>
      </c>
      <c r="F31" s="5" t="s">
        <v>180</v>
      </c>
      <c r="G31" s="5" t="s">
        <v>181</v>
      </c>
      <c r="H31" s="5" t="s">
        <v>36</v>
      </c>
      <c r="I31" s="5" t="s">
        <v>182</v>
      </c>
      <c r="J31" s="5" t="s">
        <v>28</v>
      </c>
      <c r="K31" s="5" t="s">
        <v>29</v>
      </c>
      <c r="L31" s="5" t="s">
        <v>30</v>
      </c>
      <c r="M31" s="5" t="s">
        <v>31</v>
      </c>
      <c r="N31" s="5" t="s">
        <v>39</v>
      </c>
      <c r="O31" s="5" t="s">
        <v>183</v>
      </c>
      <c r="P31" s="6"/>
      <c r="Q31" s="5"/>
    </row>
    <row r="32" customFormat="false" ht="63" hidden="false" customHeight="true" outlineLevel="0" collapsed="false">
      <c r="A32" s="4" t="s">
        <v>184</v>
      </c>
      <c r="B32" s="5" t="s">
        <v>178</v>
      </c>
      <c r="C32" s="5" t="s">
        <v>185</v>
      </c>
      <c r="D32" s="5" t="s">
        <v>22</v>
      </c>
      <c r="E32" s="5" t="s">
        <v>23</v>
      </c>
      <c r="F32" s="5" t="s">
        <v>24</v>
      </c>
      <c r="G32" s="5" t="s">
        <v>25</v>
      </c>
      <c r="H32" s="5" t="s">
        <v>36</v>
      </c>
      <c r="I32" s="5" t="s">
        <v>186</v>
      </c>
      <c r="J32" s="5" t="s">
        <v>28</v>
      </c>
      <c r="K32" s="5" t="s">
        <v>29</v>
      </c>
      <c r="L32" s="5" t="s">
        <v>187</v>
      </c>
      <c r="M32" s="5" t="s">
        <v>31</v>
      </c>
      <c r="N32" s="5" t="s">
        <v>39</v>
      </c>
      <c r="O32" s="5" t="s">
        <v>188</v>
      </c>
      <c r="P32" s="6"/>
      <c r="Q32" s="5"/>
    </row>
    <row r="33" customFormat="false" ht="33" hidden="false" customHeight="true" outlineLevel="0" collapsed="false">
      <c r="A33" s="4" t="s">
        <v>189</v>
      </c>
      <c r="B33" s="5" t="s">
        <v>178</v>
      </c>
      <c r="C33" s="5" t="s">
        <v>190</v>
      </c>
      <c r="D33" s="5" t="s">
        <v>22</v>
      </c>
      <c r="E33" s="5" t="s">
        <v>23</v>
      </c>
      <c r="F33" s="5" t="s">
        <v>24</v>
      </c>
      <c r="G33" s="5" t="s">
        <v>25</v>
      </c>
      <c r="H33" s="5" t="s">
        <v>26</v>
      </c>
      <c r="I33" s="5" t="s">
        <v>191</v>
      </c>
      <c r="J33" s="5" t="s">
        <v>28</v>
      </c>
      <c r="K33" s="5" t="s">
        <v>29</v>
      </c>
      <c r="L33" s="5" t="s">
        <v>30</v>
      </c>
      <c r="M33" s="5" t="s">
        <v>31</v>
      </c>
      <c r="N33" s="5" t="s">
        <v>32</v>
      </c>
      <c r="O33" s="5"/>
      <c r="P33" s="6"/>
      <c r="Q33" s="5"/>
    </row>
    <row r="34" customFormat="false" ht="48" hidden="false" customHeight="true" outlineLevel="0" collapsed="false">
      <c r="A34" s="4" t="s">
        <v>192</v>
      </c>
      <c r="B34" s="5" t="s">
        <v>178</v>
      </c>
      <c r="C34" s="5" t="s">
        <v>193</v>
      </c>
      <c r="D34" s="5" t="s">
        <v>43</v>
      </c>
      <c r="E34" s="5" t="s">
        <v>23</v>
      </c>
      <c r="F34" s="5" t="s">
        <v>24</v>
      </c>
      <c r="G34" s="5" t="s">
        <v>25</v>
      </c>
      <c r="H34" s="5" t="s">
        <v>46</v>
      </c>
      <c r="I34" s="5" t="s">
        <v>194</v>
      </c>
      <c r="J34" s="5" t="s">
        <v>28</v>
      </c>
      <c r="K34" s="5" t="s">
        <v>29</v>
      </c>
      <c r="L34" s="5" t="s">
        <v>49</v>
      </c>
      <c r="M34" s="5" t="s">
        <v>31</v>
      </c>
      <c r="N34" s="5" t="s">
        <v>50</v>
      </c>
      <c r="O34" s="5" t="s">
        <v>195</v>
      </c>
      <c r="P34" s="6"/>
      <c r="Q34" s="5"/>
    </row>
    <row r="35" customFormat="false" ht="33" hidden="false" customHeight="true" outlineLevel="0" collapsed="false">
      <c r="A35" s="4" t="s">
        <v>196</v>
      </c>
      <c r="B35" s="5" t="s">
        <v>178</v>
      </c>
      <c r="C35" s="5" t="s">
        <v>197</v>
      </c>
      <c r="D35" s="5" t="s">
        <v>22</v>
      </c>
      <c r="E35" s="5" t="s">
        <v>23</v>
      </c>
      <c r="F35" s="5" t="s">
        <v>24</v>
      </c>
      <c r="G35" s="5" t="s">
        <v>25</v>
      </c>
      <c r="H35" s="5" t="s">
        <v>36</v>
      </c>
      <c r="I35" s="5" t="s">
        <v>198</v>
      </c>
      <c r="J35" s="5" t="s">
        <v>28</v>
      </c>
      <c r="K35" s="5" t="s">
        <v>29</v>
      </c>
      <c r="L35" s="5" t="s">
        <v>30</v>
      </c>
      <c r="M35" s="5" t="s">
        <v>31</v>
      </c>
      <c r="N35" s="5" t="s">
        <v>39</v>
      </c>
      <c r="O35" s="5" t="s">
        <v>199</v>
      </c>
      <c r="P35" s="6"/>
      <c r="Q35" s="5"/>
    </row>
    <row r="36" customFormat="false" ht="33" hidden="false" customHeight="true" outlineLevel="0" collapsed="false">
      <c r="A36" s="4" t="s">
        <v>200</v>
      </c>
      <c r="B36" s="5" t="s">
        <v>178</v>
      </c>
      <c r="C36" s="5" t="s">
        <v>201</v>
      </c>
      <c r="D36" s="5" t="s">
        <v>43</v>
      </c>
      <c r="E36" s="5" t="s">
        <v>23</v>
      </c>
      <c r="F36" s="5" t="s">
        <v>24</v>
      </c>
      <c r="G36" s="5" t="s">
        <v>25</v>
      </c>
      <c r="H36" s="5" t="s">
        <v>36</v>
      </c>
      <c r="I36" s="5" t="s">
        <v>202</v>
      </c>
      <c r="J36" s="5" t="s">
        <v>28</v>
      </c>
      <c r="K36" s="5" t="s">
        <v>29</v>
      </c>
      <c r="L36" s="5" t="s">
        <v>145</v>
      </c>
      <c r="M36" s="5" t="s">
        <v>31</v>
      </c>
      <c r="N36" s="5" t="s">
        <v>39</v>
      </c>
      <c r="O36" s="5"/>
      <c r="P36" s="6"/>
      <c r="Q36" s="5"/>
    </row>
    <row r="37" customFormat="false" ht="48" hidden="false" customHeight="true" outlineLevel="0" collapsed="false">
      <c r="A37" s="4" t="s">
        <v>203</v>
      </c>
      <c r="B37" s="5" t="s">
        <v>178</v>
      </c>
      <c r="C37" s="5" t="s">
        <v>204</v>
      </c>
      <c r="D37" s="5" t="s">
        <v>22</v>
      </c>
      <c r="E37" s="5" t="s">
        <v>205</v>
      </c>
      <c r="F37" s="5" t="s">
        <v>79</v>
      </c>
      <c r="G37" s="5" t="s">
        <v>206</v>
      </c>
      <c r="H37" s="5" t="s">
        <v>26</v>
      </c>
      <c r="I37" s="5" t="s">
        <v>207</v>
      </c>
      <c r="J37" s="5" t="s">
        <v>48</v>
      </c>
      <c r="K37" s="5" t="s">
        <v>49</v>
      </c>
      <c r="L37" s="5" t="s">
        <v>49</v>
      </c>
      <c r="M37" s="5" t="s">
        <v>31</v>
      </c>
      <c r="N37" s="5" t="s">
        <v>32</v>
      </c>
      <c r="O37" s="5" t="s">
        <v>208</v>
      </c>
      <c r="P37" s="6"/>
      <c r="Q37" s="5" t="s">
        <v>52</v>
      </c>
    </row>
    <row r="38" customFormat="false" ht="78" hidden="false" customHeight="true" outlineLevel="0" collapsed="false">
      <c r="A38" s="4" t="s">
        <v>209</v>
      </c>
      <c r="B38" s="5" t="s">
        <v>210</v>
      </c>
      <c r="C38" s="5" t="s">
        <v>211</v>
      </c>
      <c r="D38" s="5" t="s">
        <v>22</v>
      </c>
      <c r="E38" s="5" t="s">
        <v>23</v>
      </c>
      <c r="F38" s="5" t="s">
        <v>24</v>
      </c>
      <c r="G38" s="5" t="s">
        <v>25</v>
      </c>
      <c r="H38" s="5" t="s">
        <v>212</v>
      </c>
      <c r="I38" s="5" t="s">
        <v>213</v>
      </c>
      <c r="J38" s="5" t="s">
        <v>28</v>
      </c>
      <c r="K38" s="5" t="s">
        <v>29</v>
      </c>
      <c r="L38" s="5" t="s">
        <v>214</v>
      </c>
      <c r="M38" s="5" t="s">
        <v>103</v>
      </c>
      <c r="N38" s="5" t="s">
        <v>68</v>
      </c>
      <c r="O38" s="5" t="s">
        <v>215</v>
      </c>
      <c r="P38" s="6"/>
      <c r="Q38" s="5"/>
    </row>
    <row r="39" customFormat="false" ht="33" hidden="false" customHeight="true" outlineLevel="0" collapsed="false">
      <c r="A39" s="4" t="s">
        <v>216</v>
      </c>
      <c r="B39" s="5" t="s">
        <v>210</v>
      </c>
      <c r="C39" s="5" t="s">
        <v>217</v>
      </c>
      <c r="D39" s="5" t="s">
        <v>22</v>
      </c>
      <c r="E39" s="5" t="s">
        <v>23</v>
      </c>
      <c r="F39" s="5" t="s">
        <v>24</v>
      </c>
      <c r="G39" s="5" t="s">
        <v>25</v>
      </c>
      <c r="H39" s="5" t="s">
        <v>36</v>
      </c>
      <c r="I39" s="5" t="s">
        <v>218</v>
      </c>
      <c r="J39" s="5" t="s">
        <v>28</v>
      </c>
      <c r="K39" s="5" t="s">
        <v>29</v>
      </c>
      <c r="L39" s="5" t="s">
        <v>30</v>
      </c>
      <c r="M39" s="5" t="s">
        <v>31</v>
      </c>
      <c r="N39" s="5" t="s">
        <v>39</v>
      </c>
      <c r="O39" s="5" t="s">
        <v>219</v>
      </c>
      <c r="P39" s="6"/>
      <c r="Q39" s="5"/>
    </row>
    <row r="40" customFormat="false" ht="33" hidden="false" customHeight="true" outlineLevel="0" collapsed="false">
      <c r="A40" s="4" t="s">
        <v>220</v>
      </c>
      <c r="B40" s="5" t="s">
        <v>210</v>
      </c>
      <c r="C40" s="5" t="s">
        <v>221</v>
      </c>
      <c r="D40" s="5" t="s">
        <v>43</v>
      </c>
      <c r="E40" s="5" t="s">
        <v>23</v>
      </c>
      <c r="F40" s="5" t="s">
        <v>222</v>
      </c>
      <c r="G40" s="5" t="s">
        <v>223</v>
      </c>
      <c r="H40" s="5" t="s">
        <v>36</v>
      </c>
      <c r="I40" s="5" t="s">
        <v>224</v>
      </c>
      <c r="J40" s="5" t="s">
        <v>58</v>
      </c>
      <c r="K40" s="5" t="s">
        <v>29</v>
      </c>
      <c r="L40" s="5" t="s">
        <v>49</v>
      </c>
      <c r="M40" s="5" t="s">
        <v>31</v>
      </c>
      <c r="N40" s="5" t="s">
        <v>39</v>
      </c>
      <c r="O40" s="5" t="s">
        <v>225</v>
      </c>
      <c r="P40" s="6"/>
      <c r="Q40" s="5"/>
    </row>
    <row r="41" customFormat="false" ht="33" hidden="false" customHeight="true" outlineLevel="0" collapsed="false">
      <c r="A41" s="4" t="s">
        <v>226</v>
      </c>
      <c r="B41" s="5" t="s">
        <v>210</v>
      </c>
      <c r="C41" s="5" t="s">
        <v>227</v>
      </c>
      <c r="D41" s="5" t="s">
        <v>43</v>
      </c>
      <c r="E41" s="5" t="s">
        <v>23</v>
      </c>
      <c r="F41" s="5" t="s">
        <v>24</v>
      </c>
      <c r="G41" s="5" t="s">
        <v>25</v>
      </c>
      <c r="H41" s="5" t="s">
        <v>36</v>
      </c>
      <c r="I41" s="5" t="s">
        <v>228</v>
      </c>
      <c r="J41" s="5" t="s">
        <v>28</v>
      </c>
      <c r="K41" s="5" t="s">
        <v>29</v>
      </c>
      <c r="L41" s="5" t="s">
        <v>30</v>
      </c>
      <c r="M41" s="5" t="s">
        <v>31</v>
      </c>
      <c r="N41" s="5" t="s">
        <v>39</v>
      </c>
      <c r="O41" s="5"/>
      <c r="P41" s="6"/>
      <c r="Q41" s="5"/>
    </row>
    <row r="42" customFormat="false" ht="33" hidden="false" customHeight="true" outlineLevel="0" collapsed="false">
      <c r="A42" s="4" t="s">
        <v>229</v>
      </c>
      <c r="B42" s="5" t="s">
        <v>230</v>
      </c>
      <c r="C42" s="5" t="s">
        <v>231</v>
      </c>
      <c r="D42" s="5" t="s">
        <v>22</v>
      </c>
      <c r="E42" s="5" t="s">
        <v>23</v>
      </c>
      <c r="F42" s="5" t="s">
        <v>24</v>
      </c>
      <c r="G42" s="5" t="s">
        <v>25</v>
      </c>
      <c r="H42" s="5" t="s">
        <v>36</v>
      </c>
      <c r="I42" s="5" t="s">
        <v>232</v>
      </c>
      <c r="J42" s="5" t="s">
        <v>28</v>
      </c>
      <c r="K42" s="5" t="s">
        <v>29</v>
      </c>
      <c r="L42" s="5" t="s">
        <v>30</v>
      </c>
      <c r="M42" s="5" t="s">
        <v>31</v>
      </c>
      <c r="N42" s="5" t="s">
        <v>39</v>
      </c>
      <c r="O42" s="5"/>
      <c r="P42" s="6"/>
      <c r="Q42" s="5"/>
    </row>
    <row r="43" customFormat="false" ht="48" hidden="false" customHeight="true" outlineLevel="0" collapsed="false">
      <c r="A43" s="4" t="s">
        <v>233</v>
      </c>
      <c r="B43" s="5" t="s">
        <v>230</v>
      </c>
      <c r="C43" s="5" t="s">
        <v>234</v>
      </c>
      <c r="D43" s="5" t="s">
        <v>22</v>
      </c>
      <c r="E43" s="5" t="s">
        <v>23</v>
      </c>
      <c r="F43" s="5" t="s">
        <v>24</v>
      </c>
      <c r="G43" s="5" t="s">
        <v>25</v>
      </c>
      <c r="H43" s="5" t="s">
        <v>36</v>
      </c>
      <c r="I43" s="5" t="s">
        <v>235</v>
      </c>
      <c r="J43" s="5" t="s">
        <v>28</v>
      </c>
      <c r="K43" s="5" t="s">
        <v>29</v>
      </c>
      <c r="L43" s="5" t="s">
        <v>236</v>
      </c>
      <c r="M43" s="5" t="s">
        <v>31</v>
      </c>
      <c r="N43" s="5" t="s">
        <v>39</v>
      </c>
      <c r="O43" s="5" t="s">
        <v>237</v>
      </c>
      <c r="P43" s="6"/>
      <c r="Q43" s="5"/>
    </row>
    <row r="44" customFormat="false" ht="63" hidden="false" customHeight="true" outlineLevel="0" collapsed="false">
      <c r="A44" s="4" t="s">
        <v>238</v>
      </c>
      <c r="B44" s="5" t="s">
        <v>230</v>
      </c>
      <c r="C44" s="5" t="s">
        <v>239</v>
      </c>
      <c r="D44" s="5" t="s">
        <v>43</v>
      </c>
      <c r="E44" s="5" t="s">
        <v>23</v>
      </c>
      <c r="F44" s="5" t="s">
        <v>24</v>
      </c>
      <c r="G44" s="5" t="s">
        <v>25</v>
      </c>
      <c r="H44" s="5" t="s">
        <v>36</v>
      </c>
      <c r="I44" s="5" t="s">
        <v>240</v>
      </c>
      <c r="J44" s="5" t="s">
        <v>28</v>
      </c>
      <c r="K44" s="5" t="s">
        <v>29</v>
      </c>
      <c r="L44" s="5" t="s">
        <v>30</v>
      </c>
      <c r="M44" s="5" t="s">
        <v>31</v>
      </c>
      <c r="N44" s="5" t="s">
        <v>39</v>
      </c>
      <c r="O44" s="5" t="s">
        <v>241</v>
      </c>
      <c r="P44" s="6"/>
      <c r="Q44" s="5"/>
    </row>
    <row r="45" customFormat="false" ht="63" hidden="false" customHeight="true" outlineLevel="0" collapsed="false">
      <c r="A45" s="4" t="s">
        <v>242</v>
      </c>
      <c r="B45" s="5" t="s">
        <v>243</v>
      </c>
      <c r="C45" s="5" t="s">
        <v>244</v>
      </c>
      <c r="D45" s="5" t="s">
        <v>22</v>
      </c>
      <c r="E45" s="5" t="s">
        <v>23</v>
      </c>
      <c r="F45" s="5" t="s">
        <v>24</v>
      </c>
      <c r="G45" s="5" t="s">
        <v>25</v>
      </c>
      <c r="H45" s="5" t="s">
        <v>36</v>
      </c>
      <c r="I45" s="5" t="s">
        <v>245</v>
      </c>
      <c r="J45" s="5" t="s">
        <v>28</v>
      </c>
      <c r="K45" s="5" t="s">
        <v>29</v>
      </c>
      <c r="L45" s="5" t="s">
        <v>30</v>
      </c>
      <c r="M45" s="5" t="s">
        <v>31</v>
      </c>
      <c r="N45" s="5" t="s">
        <v>39</v>
      </c>
      <c r="O45" s="5" t="s">
        <v>246</v>
      </c>
      <c r="P45" s="6"/>
      <c r="Q45" s="5"/>
    </row>
    <row r="46" customFormat="false" ht="33" hidden="false" customHeight="true" outlineLevel="0" collapsed="false">
      <c r="A46" s="4" t="s">
        <v>247</v>
      </c>
      <c r="B46" s="5" t="s">
        <v>243</v>
      </c>
      <c r="C46" s="5" t="s">
        <v>248</v>
      </c>
      <c r="D46" s="5" t="s">
        <v>22</v>
      </c>
      <c r="E46" s="5" t="s">
        <v>23</v>
      </c>
      <c r="F46" s="5" t="s">
        <v>24</v>
      </c>
      <c r="G46" s="5" t="s">
        <v>25</v>
      </c>
      <c r="H46" s="5" t="s">
        <v>46</v>
      </c>
      <c r="I46" s="5" t="s">
        <v>249</v>
      </c>
      <c r="J46" s="5" t="s">
        <v>28</v>
      </c>
      <c r="K46" s="5" t="s">
        <v>29</v>
      </c>
      <c r="L46" s="5" t="s">
        <v>250</v>
      </c>
      <c r="M46" s="5" t="s">
        <v>103</v>
      </c>
      <c r="N46" s="5" t="s">
        <v>50</v>
      </c>
      <c r="O46" s="5"/>
      <c r="P46" s="6"/>
      <c r="Q46" s="5"/>
    </row>
    <row r="47" customFormat="false" ht="33" hidden="false" customHeight="true" outlineLevel="0" collapsed="false">
      <c r="A47" s="4" t="s">
        <v>251</v>
      </c>
      <c r="B47" s="5" t="s">
        <v>243</v>
      </c>
      <c r="C47" s="5" t="s">
        <v>252</v>
      </c>
      <c r="D47" s="5" t="s">
        <v>43</v>
      </c>
      <c r="E47" s="5" t="s">
        <v>23</v>
      </c>
      <c r="F47" s="5" t="s">
        <v>24</v>
      </c>
      <c r="G47" s="5" t="s">
        <v>25</v>
      </c>
      <c r="H47" s="5" t="s">
        <v>36</v>
      </c>
      <c r="I47" s="5" t="s">
        <v>252</v>
      </c>
      <c r="J47" s="5" t="s">
        <v>28</v>
      </c>
      <c r="K47" s="5" t="s">
        <v>29</v>
      </c>
      <c r="L47" s="5" t="s">
        <v>30</v>
      </c>
      <c r="M47" s="5" t="s">
        <v>31</v>
      </c>
      <c r="N47" s="5" t="s">
        <v>39</v>
      </c>
      <c r="O47" s="5" t="s">
        <v>253</v>
      </c>
      <c r="P47" s="6"/>
      <c r="Q47" s="5"/>
    </row>
    <row r="48" customFormat="false" ht="33" hidden="false" customHeight="true" outlineLevel="0" collapsed="false">
      <c r="A48" s="4" t="s">
        <v>254</v>
      </c>
      <c r="B48" s="5" t="s">
        <v>243</v>
      </c>
      <c r="C48" s="5" t="s">
        <v>255</v>
      </c>
      <c r="D48" s="5" t="s">
        <v>22</v>
      </c>
      <c r="E48" s="5" t="s">
        <v>23</v>
      </c>
      <c r="F48" s="5" t="s">
        <v>24</v>
      </c>
      <c r="G48" s="5" t="s">
        <v>25</v>
      </c>
      <c r="H48" s="5" t="s">
        <v>36</v>
      </c>
      <c r="I48" s="5" t="s">
        <v>256</v>
      </c>
      <c r="J48" s="5" t="s">
        <v>28</v>
      </c>
      <c r="K48" s="5" t="s">
        <v>29</v>
      </c>
      <c r="L48" s="5" t="s">
        <v>30</v>
      </c>
      <c r="M48" s="5" t="s">
        <v>31</v>
      </c>
      <c r="N48" s="5" t="s">
        <v>39</v>
      </c>
      <c r="O48" s="5"/>
      <c r="P48" s="6"/>
      <c r="Q48" s="5"/>
    </row>
    <row r="49" customFormat="false" ht="33" hidden="false" customHeight="true" outlineLevel="0" collapsed="false">
      <c r="A49" s="4" t="s">
        <v>257</v>
      </c>
      <c r="B49" s="5" t="s">
        <v>243</v>
      </c>
      <c r="C49" s="5" t="s">
        <v>258</v>
      </c>
      <c r="D49" s="5" t="s">
        <v>22</v>
      </c>
      <c r="E49" s="5" t="s">
        <v>23</v>
      </c>
      <c r="F49" s="5" t="s">
        <v>24</v>
      </c>
      <c r="G49" s="5" t="s">
        <v>25</v>
      </c>
      <c r="H49" s="5" t="s">
        <v>36</v>
      </c>
      <c r="I49" s="5" t="s">
        <v>259</v>
      </c>
      <c r="J49" s="5" t="s">
        <v>28</v>
      </c>
      <c r="K49" s="5" t="s">
        <v>29</v>
      </c>
      <c r="L49" s="5" t="s">
        <v>30</v>
      </c>
      <c r="M49" s="5" t="s">
        <v>31</v>
      </c>
      <c r="N49" s="5" t="s">
        <v>39</v>
      </c>
      <c r="O49" s="5"/>
      <c r="P49" s="6"/>
      <c r="Q49" s="5"/>
    </row>
    <row r="50" customFormat="false" ht="48" hidden="false" customHeight="true" outlineLevel="0" collapsed="false">
      <c r="A50" s="4" t="s">
        <v>260</v>
      </c>
      <c r="B50" s="5" t="s">
        <v>243</v>
      </c>
      <c r="C50" s="5" t="s">
        <v>261</v>
      </c>
      <c r="D50" s="5" t="s">
        <v>22</v>
      </c>
      <c r="E50" s="5" t="s">
        <v>23</v>
      </c>
      <c r="F50" s="5" t="s">
        <v>24</v>
      </c>
      <c r="G50" s="5" t="s">
        <v>25</v>
      </c>
      <c r="H50" s="5" t="s">
        <v>36</v>
      </c>
      <c r="I50" s="5" t="s">
        <v>262</v>
      </c>
      <c r="J50" s="5" t="s">
        <v>28</v>
      </c>
      <c r="K50" s="5" t="s">
        <v>29</v>
      </c>
      <c r="L50" s="5" t="s">
        <v>30</v>
      </c>
      <c r="M50" s="5" t="s">
        <v>31</v>
      </c>
      <c r="N50" s="5" t="s">
        <v>39</v>
      </c>
      <c r="O50" s="5" t="s">
        <v>263</v>
      </c>
      <c r="P50" s="6"/>
      <c r="Q50" s="5"/>
    </row>
    <row r="51" customFormat="false" ht="33" hidden="false" customHeight="true" outlineLevel="0" collapsed="false">
      <c r="A51" s="4" t="s">
        <v>264</v>
      </c>
      <c r="B51" s="5" t="s">
        <v>243</v>
      </c>
      <c r="C51" s="5" t="s">
        <v>265</v>
      </c>
      <c r="D51" s="5" t="s">
        <v>22</v>
      </c>
      <c r="E51" s="5" t="s">
        <v>23</v>
      </c>
      <c r="F51" s="5" t="s">
        <v>24</v>
      </c>
      <c r="G51" s="5" t="s">
        <v>25</v>
      </c>
      <c r="H51" s="5" t="s">
        <v>46</v>
      </c>
      <c r="I51" s="5" t="s">
        <v>266</v>
      </c>
      <c r="J51" s="5" t="s">
        <v>28</v>
      </c>
      <c r="K51" s="5" t="s">
        <v>29</v>
      </c>
      <c r="L51" s="5" t="s">
        <v>267</v>
      </c>
      <c r="M51" s="5" t="s">
        <v>103</v>
      </c>
      <c r="N51" s="5" t="s">
        <v>50</v>
      </c>
      <c r="O51" s="5"/>
      <c r="P51" s="6"/>
      <c r="Q51" s="5"/>
    </row>
    <row r="52" customFormat="false" ht="48" hidden="false" customHeight="true" outlineLevel="0" collapsed="false">
      <c r="A52" s="4" t="s">
        <v>268</v>
      </c>
      <c r="B52" s="5" t="s">
        <v>243</v>
      </c>
      <c r="C52" s="5" t="s">
        <v>269</v>
      </c>
      <c r="D52" s="5" t="s">
        <v>22</v>
      </c>
      <c r="E52" s="5" t="s">
        <v>23</v>
      </c>
      <c r="F52" s="5" t="s">
        <v>24</v>
      </c>
      <c r="G52" s="5" t="s">
        <v>25</v>
      </c>
      <c r="H52" s="5" t="s">
        <v>46</v>
      </c>
      <c r="I52" s="5" t="s">
        <v>270</v>
      </c>
      <c r="J52" s="5" t="s">
        <v>28</v>
      </c>
      <c r="K52" s="5" t="s">
        <v>29</v>
      </c>
      <c r="L52" s="5" t="s">
        <v>271</v>
      </c>
      <c r="M52" s="5" t="s">
        <v>103</v>
      </c>
      <c r="N52" s="5" t="s">
        <v>50</v>
      </c>
      <c r="O52" s="5" t="s">
        <v>272</v>
      </c>
      <c r="P52" s="6"/>
      <c r="Q52" s="5"/>
    </row>
    <row r="53" customFormat="false" ht="33" hidden="false" customHeight="true" outlineLevel="0" collapsed="false">
      <c r="A53" s="4" t="s">
        <v>273</v>
      </c>
      <c r="B53" s="5" t="s">
        <v>243</v>
      </c>
      <c r="C53" s="5" t="s">
        <v>274</v>
      </c>
      <c r="D53" s="5" t="s">
        <v>22</v>
      </c>
      <c r="E53" s="5" t="s">
        <v>23</v>
      </c>
      <c r="F53" s="5" t="s">
        <v>24</v>
      </c>
      <c r="G53" s="5" t="s">
        <v>25</v>
      </c>
      <c r="H53" s="5" t="s">
        <v>36</v>
      </c>
      <c r="I53" s="5" t="s">
        <v>275</v>
      </c>
      <c r="J53" s="5" t="s">
        <v>28</v>
      </c>
      <c r="K53" s="5" t="s">
        <v>29</v>
      </c>
      <c r="L53" s="5" t="s">
        <v>276</v>
      </c>
      <c r="M53" s="5" t="s">
        <v>31</v>
      </c>
      <c r="N53" s="5" t="s">
        <v>39</v>
      </c>
      <c r="O53" s="5" t="s">
        <v>277</v>
      </c>
      <c r="P53" s="6"/>
      <c r="Q53" s="5"/>
    </row>
    <row r="54" customFormat="false" ht="78" hidden="false" customHeight="true" outlineLevel="0" collapsed="false">
      <c r="A54" s="4" t="s">
        <v>278</v>
      </c>
      <c r="B54" s="5" t="s">
        <v>243</v>
      </c>
      <c r="C54" s="5" t="s">
        <v>279</v>
      </c>
      <c r="D54" s="5" t="s">
        <v>43</v>
      </c>
      <c r="E54" s="5" t="s">
        <v>23</v>
      </c>
      <c r="F54" s="5" t="s">
        <v>24</v>
      </c>
      <c r="G54" s="5" t="s">
        <v>99</v>
      </c>
      <c r="H54" s="5" t="s">
        <v>46</v>
      </c>
      <c r="I54" s="5" t="s">
        <v>280</v>
      </c>
      <c r="J54" s="5" t="s">
        <v>28</v>
      </c>
      <c r="K54" s="5" t="s">
        <v>101</v>
      </c>
      <c r="L54" s="5" t="s">
        <v>281</v>
      </c>
      <c r="M54" s="5" t="s">
        <v>103</v>
      </c>
      <c r="N54" s="5" t="s">
        <v>50</v>
      </c>
      <c r="O54" s="5" t="s">
        <v>282</v>
      </c>
      <c r="P54" s="6"/>
      <c r="Q54" s="5" t="s">
        <v>52</v>
      </c>
    </row>
    <row r="55" customFormat="false" ht="48" hidden="false" customHeight="true" outlineLevel="0" collapsed="false">
      <c r="A55" s="4" t="s">
        <v>283</v>
      </c>
      <c r="B55" s="5" t="s">
        <v>243</v>
      </c>
      <c r="C55" s="5" t="s">
        <v>284</v>
      </c>
      <c r="D55" s="5" t="s">
        <v>43</v>
      </c>
      <c r="E55" s="5" t="s">
        <v>62</v>
      </c>
      <c r="F55" s="5" t="s">
        <v>285</v>
      </c>
      <c r="G55" s="5" t="s">
        <v>286</v>
      </c>
      <c r="H55" s="5" t="s">
        <v>26</v>
      </c>
      <c r="I55" s="5" t="s">
        <v>287</v>
      </c>
      <c r="J55" s="5" t="s">
        <v>48</v>
      </c>
      <c r="K55" s="5" t="s">
        <v>49</v>
      </c>
      <c r="L55" s="5" t="s">
        <v>49</v>
      </c>
      <c r="M55" s="5" t="s">
        <v>31</v>
      </c>
      <c r="N55" s="5" t="s">
        <v>32</v>
      </c>
      <c r="O55" s="5" t="s">
        <v>288</v>
      </c>
      <c r="P55" s="6"/>
      <c r="Q55" s="5"/>
    </row>
    <row r="56" customFormat="false" ht="48" hidden="false" customHeight="true" outlineLevel="0" collapsed="false">
      <c r="A56" s="4" t="s">
        <v>289</v>
      </c>
      <c r="B56" s="5" t="s">
        <v>243</v>
      </c>
      <c r="C56" s="5" t="s">
        <v>290</v>
      </c>
      <c r="D56" s="5" t="s">
        <v>22</v>
      </c>
      <c r="E56" s="5" t="s">
        <v>291</v>
      </c>
      <c r="F56" s="5" t="s">
        <v>24</v>
      </c>
      <c r="G56" s="5" t="s">
        <v>99</v>
      </c>
      <c r="H56" s="5" t="s">
        <v>46</v>
      </c>
      <c r="I56" s="5" t="s">
        <v>292</v>
      </c>
      <c r="J56" s="5" t="s">
        <v>28</v>
      </c>
      <c r="K56" s="5" t="s">
        <v>101</v>
      </c>
      <c r="L56" s="5" t="s">
        <v>293</v>
      </c>
      <c r="M56" s="5" t="s">
        <v>103</v>
      </c>
      <c r="N56" s="5" t="s">
        <v>50</v>
      </c>
      <c r="O56" s="5" t="s">
        <v>294</v>
      </c>
      <c r="P56" s="6"/>
      <c r="Q56" s="5" t="s">
        <v>83</v>
      </c>
    </row>
    <row r="57" customFormat="false" ht="33" hidden="false" customHeight="true" outlineLevel="0" collapsed="false">
      <c r="A57" s="4" t="s">
        <v>295</v>
      </c>
      <c r="B57" s="5" t="s">
        <v>296</v>
      </c>
      <c r="C57" s="5" t="s">
        <v>297</v>
      </c>
      <c r="D57" s="5" t="s">
        <v>22</v>
      </c>
      <c r="E57" s="5" t="s">
        <v>23</v>
      </c>
      <c r="F57" s="5" t="s">
        <v>222</v>
      </c>
      <c r="G57" s="5" t="s">
        <v>298</v>
      </c>
      <c r="H57" s="5" t="s">
        <v>36</v>
      </c>
      <c r="I57" s="5" t="s">
        <v>299</v>
      </c>
      <c r="J57" s="5" t="s">
        <v>48</v>
      </c>
      <c r="K57" s="5" t="s">
        <v>49</v>
      </c>
      <c r="L57" s="5" t="s">
        <v>49</v>
      </c>
      <c r="M57" s="5" t="s">
        <v>31</v>
      </c>
      <c r="N57" s="5" t="s">
        <v>39</v>
      </c>
      <c r="O57" s="5" t="s">
        <v>300</v>
      </c>
      <c r="P57" s="6"/>
      <c r="Q57" s="5"/>
    </row>
    <row r="58" customFormat="false" ht="48" hidden="false" customHeight="true" outlineLevel="0" collapsed="false">
      <c r="A58" s="4" t="s">
        <v>301</v>
      </c>
      <c r="B58" s="5" t="s">
        <v>296</v>
      </c>
      <c r="C58" s="5" t="s">
        <v>302</v>
      </c>
      <c r="D58" s="5" t="s">
        <v>22</v>
      </c>
      <c r="E58" s="5" t="s">
        <v>23</v>
      </c>
      <c r="F58" s="5" t="s">
        <v>222</v>
      </c>
      <c r="G58" s="5" t="s">
        <v>298</v>
      </c>
      <c r="H58" s="5" t="s">
        <v>46</v>
      </c>
      <c r="I58" s="5" t="s">
        <v>303</v>
      </c>
      <c r="J58" s="5" t="s">
        <v>48</v>
      </c>
      <c r="K58" s="5" t="s">
        <v>49</v>
      </c>
      <c r="L58" s="5" t="s">
        <v>49</v>
      </c>
      <c r="M58" s="5" t="s">
        <v>31</v>
      </c>
      <c r="N58" s="5" t="s">
        <v>50</v>
      </c>
      <c r="O58" s="5" t="s">
        <v>304</v>
      </c>
      <c r="P58" s="6"/>
      <c r="Q58" s="5"/>
    </row>
    <row r="59" customFormat="false" ht="48" hidden="false" customHeight="true" outlineLevel="0" collapsed="false">
      <c r="A59" s="4" t="s">
        <v>305</v>
      </c>
      <c r="B59" s="5" t="s">
        <v>296</v>
      </c>
      <c r="C59" s="5" t="s">
        <v>306</v>
      </c>
      <c r="D59" s="5" t="s">
        <v>43</v>
      </c>
      <c r="E59" s="5" t="s">
        <v>205</v>
      </c>
      <c r="F59" s="5" t="s">
        <v>307</v>
      </c>
      <c r="G59" s="5" t="s">
        <v>307</v>
      </c>
      <c r="H59" s="5" t="s">
        <v>308</v>
      </c>
      <c r="I59" s="5" t="s">
        <v>309</v>
      </c>
      <c r="J59" s="5" t="s">
        <v>310</v>
      </c>
      <c r="K59" s="5" t="s">
        <v>49</v>
      </c>
      <c r="L59" s="5" t="s">
        <v>49</v>
      </c>
      <c r="M59" s="5" t="s">
        <v>310</v>
      </c>
      <c r="N59" s="5" t="s">
        <v>49</v>
      </c>
      <c r="O59" s="5" t="s">
        <v>311</v>
      </c>
      <c r="P59" s="6"/>
      <c r="Q59" s="5"/>
    </row>
    <row r="60" customFormat="false" ht="33" hidden="false" customHeight="true" outlineLevel="0" collapsed="false">
      <c r="A60" s="4" t="s">
        <v>312</v>
      </c>
      <c r="B60" s="5" t="s">
        <v>296</v>
      </c>
      <c r="C60" s="5" t="s">
        <v>313</v>
      </c>
      <c r="D60" s="5" t="s">
        <v>22</v>
      </c>
      <c r="E60" s="5" t="s">
        <v>23</v>
      </c>
      <c r="F60" s="5" t="s">
        <v>222</v>
      </c>
      <c r="G60" s="5" t="s">
        <v>223</v>
      </c>
      <c r="H60" s="5" t="s">
        <v>36</v>
      </c>
      <c r="I60" s="5" t="s">
        <v>314</v>
      </c>
      <c r="J60" s="5" t="s">
        <v>48</v>
      </c>
      <c r="K60" s="5" t="s">
        <v>49</v>
      </c>
      <c r="L60" s="5" t="s">
        <v>49</v>
      </c>
      <c r="M60" s="5" t="s">
        <v>31</v>
      </c>
      <c r="N60" s="5" t="s">
        <v>39</v>
      </c>
      <c r="O60" s="5"/>
      <c r="P60" s="6"/>
      <c r="Q60" s="5"/>
    </row>
    <row r="61" customFormat="false" ht="48" hidden="false" customHeight="true" outlineLevel="0" collapsed="false">
      <c r="A61" s="4" t="s">
        <v>315</v>
      </c>
      <c r="B61" s="5" t="s">
        <v>296</v>
      </c>
      <c r="C61" s="5" t="s">
        <v>316</v>
      </c>
      <c r="D61" s="5" t="s">
        <v>22</v>
      </c>
      <c r="E61" s="5" t="s">
        <v>23</v>
      </c>
      <c r="F61" s="5" t="s">
        <v>222</v>
      </c>
      <c r="G61" s="5" t="s">
        <v>223</v>
      </c>
      <c r="H61" s="5" t="s">
        <v>36</v>
      </c>
      <c r="I61" s="5" t="s">
        <v>317</v>
      </c>
      <c r="J61" s="5" t="s">
        <v>48</v>
      </c>
      <c r="K61" s="5" t="s">
        <v>49</v>
      </c>
      <c r="L61" s="5" t="s">
        <v>49</v>
      </c>
      <c r="M61" s="5" t="s">
        <v>31</v>
      </c>
      <c r="N61" s="5" t="s">
        <v>39</v>
      </c>
      <c r="O61" s="5" t="s">
        <v>318</v>
      </c>
      <c r="P61" s="6"/>
      <c r="Q61" s="5"/>
    </row>
    <row r="62" customFormat="false" ht="48" hidden="false" customHeight="true" outlineLevel="0" collapsed="false">
      <c r="A62" s="4" t="s">
        <v>319</v>
      </c>
      <c r="B62" s="5" t="s">
        <v>296</v>
      </c>
      <c r="C62" s="5" t="s">
        <v>320</v>
      </c>
      <c r="D62" s="5" t="s">
        <v>22</v>
      </c>
      <c r="E62" s="5" t="s">
        <v>23</v>
      </c>
      <c r="F62" s="5" t="s">
        <v>222</v>
      </c>
      <c r="G62" s="5" t="s">
        <v>321</v>
      </c>
      <c r="H62" s="5" t="s">
        <v>46</v>
      </c>
      <c r="I62" s="5" t="s">
        <v>322</v>
      </c>
      <c r="J62" s="5" t="s">
        <v>48</v>
      </c>
      <c r="K62" s="5" t="s">
        <v>49</v>
      </c>
      <c r="L62" s="5" t="s">
        <v>49</v>
      </c>
      <c r="M62" s="5" t="s">
        <v>31</v>
      </c>
      <c r="N62" s="5" t="s">
        <v>50</v>
      </c>
      <c r="O62" s="5" t="s">
        <v>323</v>
      </c>
      <c r="P62" s="6"/>
      <c r="Q62" s="5"/>
    </row>
    <row r="63" customFormat="false" ht="33" hidden="false" customHeight="true" outlineLevel="0" collapsed="false">
      <c r="A63" s="4" t="s">
        <v>324</v>
      </c>
      <c r="B63" s="5" t="s">
        <v>296</v>
      </c>
      <c r="C63" s="5" t="s">
        <v>325</v>
      </c>
      <c r="D63" s="5" t="s">
        <v>43</v>
      </c>
      <c r="E63" s="5" t="s">
        <v>205</v>
      </c>
      <c r="F63" s="5" t="s">
        <v>307</v>
      </c>
      <c r="G63" s="5" t="s">
        <v>307</v>
      </c>
      <c r="H63" s="5" t="s">
        <v>308</v>
      </c>
      <c r="I63" s="5" t="s">
        <v>309</v>
      </c>
      <c r="J63" s="5" t="s">
        <v>310</v>
      </c>
      <c r="K63" s="5" t="s">
        <v>49</v>
      </c>
      <c r="L63" s="5" t="s">
        <v>49</v>
      </c>
      <c r="M63" s="5" t="s">
        <v>310</v>
      </c>
      <c r="N63" s="5" t="s">
        <v>49</v>
      </c>
      <c r="O63" s="5" t="s">
        <v>311</v>
      </c>
      <c r="P63" s="6"/>
      <c r="Q63" s="5"/>
    </row>
    <row r="64" customFormat="false" ht="33" hidden="false" customHeight="true" outlineLevel="0" collapsed="false">
      <c r="A64" s="4" t="s">
        <v>326</v>
      </c>
      <c r="B64" s="5" t="s">
        <v>296</v>
      </c>
      <c r="C64" s="5" t="s">
        <v>327</v>
      </c>
      <c r="D64" s="5" t="s">
        <v>43</v>
      </c>
      <c r="E64" s="5" t="s">
        <v>23</v>
      </c>
      <c r="F64" s="5" t="s">
        <v>222</v>
      </c>
      <c r="G64" s="5" t="s">
        <v>223</v>
      </c>
      <c r="H64" s="5" t="s">
        <v>36</v>
      </c>
      <c r="I64" s="5" t="s">
        <v>328</v>
      </c>
      <c r="J64" s="5" t="s">
        <v>48</v>
      </c>
      <c r="K64" s="5" t="s">
        <v>49</v>
      </c>
      <c r="L64" s="5" t="s">
        <v>49</v>
      </c>
      <c r="M64" s="5" t="s">
        <v>31</v>
      </c>
      <c r="N64" s="5" t="s">
        <v>39</v>
      </c>
      <c r="O64" s="5"/>
      <c r="P64" s="6"/>
      <c r="Q64" s="5"/>
    </row>
    <row r="65" customFormat="false" ht="33" hidden="false" customHeight="true" outlineLevel="0" collapsed="false">
      <c r="A65" s="4" t="s">
        <v>329</v>
      </c>
      <c r="B65" s="5" t="s">
        <v>330</v>
      </c>
      <c r="C65" s="5" t="s">
        <v>331</v>
      </c>
      <c r="D65" s="5" t="s">
        <v>22</v>
      </c>
      <c r="E65" s="5" t="s">
        <v>23</v>
      </c>
      <c r="F65" s="5" t="s">
        <v>24</v>
      </c>
      <c r="G65" s="5" t="s">
        <v>25</v>
      </c>
      <c r="H65" s="5" t="s">
        <v>36</v>
      </c>
      <c r="I65" s="5" t="s">
        <v>332</v>
      </c>
      <c r="J65" s="5" t="s">
        <v>28</v>
      </c>
      <c r="K65" s="5" t="s">
        <v>29</v>
      </c>
      <c r="L65" s="5" t="s">
        <v>30</v>
      </c>
      <c r="M65" s="5" t="s">
        <v>31</v>
      </c>
      <c r="N65" s="5" t="s">
        <v>39</v>
      </c>
      <c r="O65" s="5" t="s">
        <v>333</v>
      </c>
      <c r="P65" s="6"/>
      <c r="Q65" s="5"/>
    </row>
    <row r="66" customFormat="false" ht="93" hidden="false" customHeight="true" outlineLevel="0" collapsed="false">
      <c r="A66" s="4" t="s">
        <v>334</v>
      </c>
      <c r="B66" s="5" t="s">
        <v>330</v>
      </c>
      <c r="C66" s="5" t="s">
        <v>335</v>
      </c>
      <c r="D66" s="5" t="s">
        <v>22</v>
      </c>
      <c r="E66" s="5" t="s">
        <v>23</v>
      </c>
      <c r="F66" s="5" t="s">
        <v>285</v>
      </c>
      <c r="G66" s="5" t="s">
        <v>336</v>
      </c>
      <c r="H66" s="5" t="s">
        <v>36</v>
      </c>
      <c r="I66" s="5" t="s">
        <v>337</v>
      </c>
      <c r="J66" s="5" t="s">
        <v>48</v>
      </c>
      <c r="K66" s="5" t="s">
        <v>49</v>
      </c>
      <c r="L66" s="5" t="s">
        <v>49</v>
      </c>
      <c r="M66" s="5" t="s">
        <v>31</v>
      </c>
      <c r="N66" s="5" t="s">
        <v>39</v>
      </c>
      <c r="O66" s="5" t="s">
        <v>338</v>
      </c>
      <c r="P66" s="6"/>
      <c r="Q66" s="5" t="s">
        <v>52</v>
      </c>
    </row>
    <row r="67" customFormat="false" ht="63" hidden="false" customHeight="true" outlineLevel="0" collapsed="false">
      <c r="A67" s="4" t="s">
        <v>339</v>
      </c>
      <c r="B67" s="5" t="s">
        <v>330</v>
      </c>
      <c r="C67" s="5" t="s">
        <v>340</v>
      </c>
      <c r="D67" s="5" t="s">
        <v>22</v>
      </c>
      <c r="E67" s="5" t="s">
        <v>205</v>
      </c>
      <c r="F67" s="5" t="s">
        <v>285</v>
      </c>
      <c r="G67" s="5" t="s">
        <v>341</v>
      </c>
      <c r="H67" s="5" t="s">
        <v>46</v>
      </c>
      <c r="I67" s="5" t="s">
        <v>342</v>
      </c>
      <c r="J67" s="5" t="s">
        <v>48</v>
      </c>
      <c r="K67" s="5" t="s">
        <v>49</v>
      </c>
      <c r="L67" s="5" t="s">
        <v>49</v>
      </c>
      <c r="M67" s="5" t="s">
        <v>31</v>
      </c>
      <c r="N67" s="5" t="s">
        <v>50</v>
      </c>
      <c r="O67" s="5" t="s">
        <v>343</v>
      </c>
      <c r="P67" s="6"/>
      <c r="Q67" s="5"/>
    </row>
    <row r="68" customFormat="false" ht="33" hidden="false" customHeight="true" outlineLevel="0" collapsed="false">
      <c r="A68" s="4" t="s">
        <v>344</v>
      </c>
      <c r="B68" s="5" t="s">
        <v>330</v>
      </c>
      <c r="C68" s="5" t="s">
        <v>345</v>
      </c>
      <c r="D68" s="5" t="s">
        <v>22</v>
      </c>
      <c r="E68" s="5" t="s">
        <v>23</v>
      </c>
      <c r="F68" s="5" t="s">
        <v>285</v>
      </c>
      <c r="G68" s="5" t="s">
        <v>336</v>
      </c>
      <c r="H68" s="5" t="s">
        <v>36</v>
      </c>
      <c r="I68" s="5" t="s">
        <v>346</v>
      </c>
      <c r="J68" s="5" t="s">
        <v>48</v>
      </c>
      <c r="K68" s="5" t="s">
        <v>49</v>
      </c>
      <c r="L68" s="5" t="s">
        <v>49</v>
      </c>
      <c r="M68" s="5" t="s">
        <v>31</v>
      </c>
      <c r="N68" s="5" t="s">
        <v>39</v>
      </c>
      <c r="O68" s="5"/>
      <c r="P68" s="6"/>
      <c r="Q68" s="5"/>
    </row>
    <row r="69" customFormat="false" ht="33" hidden="false" customHeight="true" outlineLevel="0" collapsed="false">
      <c r="A69" s="4" t="s">
        <v>347</v>
      </c>
      <c r="B69" s="5" t="s">
        <v>330</v>
      </c>
      <c r="C69" s="5" t="s">
        <v>348</v>
      </c>
      <c r="D69" s="5" t="s">
        <v>22</v>
      </c>
      <c r="E69" s="5" t="s">
        <v>23</v>
      </c>
      <c r="F69" s="5" t="s">
        <v>285</v>
      </c>
      <c r="G69" s="5" t="s">
        <v>336</v>
      </c>
      <c r="H69" s="5" t="s">
        <v>46</v>
      </c>
      <c r="I69" s="5" t="s">
        <v>349</v>
      </c>
      <c r="J69" s="5" t="s">
        <v>48</v>
      </c>
      <c r="K69" s="5" t="s">
        <v>49</v>
      </c>
      <c r="L69" s="5" t="s">
        <v>49</v>
      </c>
      <c r="M69" s="5" t="s">
        <v>31</v>
      </c>
      <c r="N69" s="5" t="s">
        <v>50</v>
      </c>
      <c r="O69" s="5" t="s">
        <v>350</v>
      </c>
      <c r="P69" s="6"/>
      <c r="Q69" s="5"/>
    </row>
    <row r="70" customFormat="false" ht="33" hidden="false" customHeight="true" outlineLevel="0" collapsed="false">
      <c r="A70" s="4" t="s">
        <v>351</v>
      </c>
      <c r="B70" s="5" t="s">
        <v>330</v>
      </c>
      <c r="C70" s="5" t="s">
        <v>352</v>
      </c>
      <c r="D70" s="5" t="s">
        <v>22</v>
      </c>
      <c r="E70" s="5" t="s">
        <v>23</v>
      </c>
      <c r="F70" s="5" t="s">
        <v>285</v>
      </c>
      <c r="G70" s="5" t="s">
        <v>336</v>
      </c>
      <c r="H70" s="5" t="s">
        <v>36</v>
      </c>
      <c r="I70" s="5" t="s">
        <v>353</v>
      </c>
      <c r="J70" s="5" t="s">
        <v>48</v>
      </c>
      <c r="K70" s="5" t="s">
        <v>49</v>
      </c>
      <c r="L70" s="5" t="s">
        <v>49</v>
      </c>
      <c r="M70" s="5" t="s">
        <v>31</v>
      </c>
      <c r="N70" s="5" t="s">
        <v>39</v>
      </c>
      <c r="O70" s="5" t="s">
        <v>354</v>
      </c>
      <c r="P70" s="6"/>
      <c r="Q70" s="5"/>
    </row>
    <row r="71" customFormat="false" ht="33" hidden="false" customHeight="true" outlineLevel="0" collapsed="false">
      <c r="A71" s="4" t="s">
        <v>355</v>
      </c>
      <c r="B71" s="5" t="s">
        <v>330</v>
      </c>
      <c r="C71" s="5" t="s">
        <v>356</v>
      </c>
      <c r="D71" s="5" t="s">
        <v>22</v>
      </c>
      <c r="E71" s="5" t="s">
        <v>23</v>
      </c>
      <c r="F71" s="5" t="s">
        <v>24</v>
      </c>
      <c r="G71" s="5" t="s">
        <v>25</v>
      </c>
      <c r="H71" s="5" t="s">
        <v>26</v>
      </c>
      <c r="I71" s="5" t="s">
        <v>357</v>
      </c>
      <c r="J71" s="5" t="s">
        <v>28</v>
      </c>
      <c r="K71" s="5" t="s">
        <v>29</v>
      </c>
      <c r="L71" s="5" t="s">
        <v>30</v>
      </c>
      <c r="M71" s="5" t="s">
        <v>31</v>
      </c>
      <c r="N71" s="5" t="s">
        <v>32</v>
      </c>
      <c r="O71" s="5"/>
      <c r="P71" s="6"/>
      <c r="Q71" s="5"/>
    </row>
    <row r="72" customFormat="false" ht="48" hidden="false" customHeight="true" outlineLevel="0" collapsed="false">
      <c r="A72" s="4" t="s">
        <v>358</v>
      </c>
      <c r="B72" s="5" t="s">
        <v>330</v>
      </c>
      <c r="C72" s="5" t="s">
        <v>359</v>
      </c>
      <c r="D72" s="5" t="s">
        <v>22</v>
      </c>
      <c r="E72" s="5" t="s">
        <v>23</v>
      </c>
      <c r="F72" s="5" t="s">
        <v>24</v>
      </c>
      <c r="G72" s="5" t="s">
        <v>25</v>
      </c>
      <c r="H72" s="5" t="s">
        <v>26</v>
      </c>
      <c r="I72" s="5" t="s">
        <v>360</v>
      </c>
      <c r="J72" s="5" t="s">
        <v>28</v>
      </c>
      <c r="K72" s="5" t="s">
        <v>29</v>
      </c>
      <c r="L72" s="5" t="s">
        <v>30</v>
      </c>
      <c r="M72" s="5" t="s">
        <v>31</v>
      </c>
      <c r="N72" s="5" t="s">
        <v>32</v>
      </c>
      <c r="O72" s="5"/>
      <c r="P72" s="6"/>
      <c r="Q72" s="5"/>
    </row>
    <row r="73" customFormat="false" ht="33" hidden="false" customHeight="true" outlineLevel="0" collapsed="false">
      <c r="A73" s="4" t="s">
        <v>361</v>
      </c>
      <c r="B73" s="5" t="s">
        <v>330</v>
      </c>
      <c r="C73" s="5" t="s">
        <v>362</v>
      </c>
      <c r="D73" s="5" t="s">
        <v>22</v>
      </c>
      <c r="E73" s="5" t="s">
        <v>23</v>
      </c>
      <c r="F73" s="5" t="s">
        <v>24</v>
      </c>
      <c r="G73" s="5" t="s">
        <v>25</v>
      </c>
      <c r="H73" s="5" t="s">
        <v>36</v>
      </c>
      <c r="I73" s="5" t="s">
        <v>363</v>
      </c>
      <c r="J73" s="5" t="s">
        <v>28</v>
      </c>
      <c r="K73" s="5" t="s">
        <v>29</v>
      </c>
      <c r="L73" s="5" t="s">
        <v>364</v>
      </c>
      <c r="M73" s="5" t="s">
        <v>31</v>
      </c>
      <c r="N73" s="5" t="s">
        <v>39</v>
      </c>
      <c r="O73" s="5" t="s">
        <v>365</v>
      </c>
      <c r="P73" s="6"/>
      <c r="Q73" s="5"/>
    </row>
    <row r="74" customFormat="false" ht="33" hidden="false" customHeight="true" outlineLevel="0" collapsed="false">
      <c r="A74" s="4" t="s">
        <v>366</v>
      </c>
      <c r="B74" s="5" t="s">
        <v>330</v>
      </c>
      <c r="C74" s="5" t="s">
        <v>367</v>
      </c>
      <c r="D74" s="5" t="s">
        <v>43</v>
      </c>
      <c r="E74" s="5" t="s">
        <v>23</v>
      </c>
      <c r="F74" s="5" t="s">
        <v>24</v>
      </c>
      <c r="G74" s="5" t="s">
        <v>25</v>
      </c>
      <c r="H74" s="5" t="s">
        <v>36</v>
      </c>
      <c r="I74" s="5" t="s">
        <v>368</v>
      </c>
      <c r="J74" s="5" t="s">
        <v>28</v>
      </c>
      <c r="K74" s="5" t="s">
        <v>29</v>
      </c>
      <c r="L74" s="5" t="s">
        <v>30</v>
      </c>
      <c r="M74" s="5" t="s">
        <v>31</v>
      </c>
      <c r="N74" s="5" t="s">
        <v>39</v>
      </c>
      <c r="O74" s="5" t="s">
        <v>369</v>
      </c>
      <c r="P74" s="6"/>
      <c r="Q74" s="5"/>
    </row>
    <row r="75" customFormat="false" ht="48" hidden="false" customHeight="true" outlineLevel="0" collapsed="false">
      <c r="A75" s="4" t="s">
        <v>370</v>
      </c>
      <c r="B75" s="5" t="s">
        <v>330</v>
      </c>
      <c r="C75" s="5" t="s">
        <v>371</v>
      </c>
      <c r="D75" s="5" t="s">
        <v>22</v>
      </c>
      <c r="E75" s="5" t="s">
        <v>23</v>
      </c>
      <c r="F75" s="5" t="s">
        <v>24</v>
      </c>
      <c r="G75" s="5" t="s">
        <v>25</v>
      </c>
      <c r="H75" s="5" t="s">
        <v>46</v>
      </c>
      <c r="I75" s="5" t="s">
        <v>372</v>
      </c>
      <c r="J75" s="5" t="s">
        <v>28</v>
      </c>
      <c r="K75" s="5" t="s">
        <v>29</v>
      </c>
      <c r="L75" s="5" t="s">
        <v>155</v>
      </c>
      <c r="M75" s="5" t="s">
        <v>103</v>
      </c>
      <c r="N75" s="5" t="s">
        <v>50</v>
      </c>
      <c r="O75" s="5" t="s">
        <v>373</v>
      </c>
      <c r="P75" s="6"/>
      <c r="Q75" s="5"/>
    </row>
    <row r="76" customFormat="false" ht="33" hidden="false" customHeight="true" outlineLevel="0" collapsed="false">
      <c r="A76" s="4" t="s">
        <v>374</v>
      </c>
      <c r="B76" s="5" t="s">
        <v>330</v>
      </c>
      <c r="C76" s="5" t="s">
        <v>375</v>
      </c>
      <c r="D76" s="5" t="s">
        <v>43</v>
      </c>
      <c r="E76" s="5" t="s">
        <v>23</v>
      </c>
      <c r="F76" s="5" t="s">
        <v>24</v>
      </c>
      <c r="G76" s="5" t="s">
        <v>25</v>
      </c>
      <c r="H76" s="5" t="s">
        <v>36</v>
      </c>
      <c r="I76" s="5" t="s">
        <v>376</v>
      </c>
      <c r="J76" s="5" t="s">
        <v>28</v>
      </c>
      <c r="K76" s="5" t="s">
        <v>29</v>
      </c>
      <c r="L76" s="5" t="s">
        <v>145</v>
      </c>
      <c r="M76" s="5" t="s">
        <v>31</v>
      </c>
      <c r="N76" s="5" t="s">
        <v>39</v>
      </c>
      <c r="O76" s="5"/>
      <c r="P76" s="6"/>
      <c r="Q76" s="5"/>
    </row>
    <row r="77" customFormat="false" ht="63" hidden="false" customHeight="true" outlineLevel="0" collapsed="false">
      <c r="A77" s="4" t="s">
        <v>377</v>
      </c>
      <c r="B77" s="5" t="s">
        <v>378</v>
      </c>
      <c r="C77" s="5" t="s">
        <v>379</v>
      </c>
      <c r="D77" s="5" t="s">
        <v>22</v>
      </c>
      <c r="E77" s="5" t="s">
        <v>23</v>
      </c>
      <c r="F77" s="5" t="s">
        <v>63</v>
      </c>
      <c r="G77" s="5" t="s">
        <v>380</v>
      </c>
      <c r="H77" s="5" t="s">
        <v>36</v>
      </c>
      <c r="I77" s="5" t="s">
        <v>381</v>
      </c>
      <c r="J77" s="5" t="s">
        <v>58</v>
      </c>
      <c r="K77" s="5" t="s">
        <v>29</v>
      </c>
      <c r="L77" s="5" t="s">
        <v>49</v>
      </c>
      <c r="M77" s="5" t="s">
        <v>31</v>
      </c>
      <c r="N77" s="5" t="s">
        <v>39</v>
      </c>
      <c r="O77" s="5" t="s">
        <v>382</v>
      </c>
      <c r="P77" s="6"/>
      <c r="Q77" s="5"/>
    </row>
    <row r="78" customFormat="false" ht="33" hidden="false" customHeight="true" outlineLevel="0" collapsed="false">
      <c r="A78" s="4" t="s">
        <v>383</v>
      </c>
      <c r="B78" s="5" t="s">
        <v>378</v>
      </c>
      <c r="C78" s="5" t="s">
        <v>384</v>
      </c>
      <c r="D78" s="5" t="s">
        <v>22</v>
      </c>
      <c r="E78" s="5" t="s">
        <v>23</v>
      </c>
      <c r="F78" s="5" t="s">
        <v>24</v>
      </c>
      <c r="G78" s="5" t="s">
        <v>25</v>
      </c>
      <c r="H78" s="5" t="s">
        <v>36</v>
      </c>
      <c r="I78" s="5" t="s">
        <v>385</v>
      </c>
      <c r="J78" s="5" t="s">
        <v>28</v>
      </c>
      <c r="K78" s="5" t="s">
        <v>29</v>
      </c>
      <c r="L78" s="5" t="s">
        <v>30</v>
      </c>
      <c r="M78" s="5" t="s">
        <v>31</v>
      </c>
      <c r="N78" s="5" t="s">
        <v>39</v>
      </c>
      <c r="O78" s="5"/>
      <c r="P78" s="6"/>
      <c r="Q78" s="5"/>
    </row>
    <row r="79" customFormat="false" ht="33" hidden="false" customHeight="true" outlineLevel="0" collapsed="false">
      <c r="A79" s="4" t="s">
        <v>386</v>
      </c>
      <c r="B79" s="5" t="s">
        <v>378</v>
      </c>
      <c r="C79" s="5" t="s">
        <v>387</v>
      </c>
      <c r="D79" s="5" t="s">
        <v>22</v>
      </c>
      <c r="E79" s="5" t="s">
        <v>23</v>
      </c>
      <c r="F79" s="5" t="s">
        <v>24</v>
      </c>
      <c r="G79" s="5" t="s">
        <v>25</v>
      </c>
      <c r="H79" s="5" t="s">
        <v>36</v>
      </c>
      <c r="I79" s="5" t="s">
        <v>388</v>
      </c>
      <c r="J79" s="5" t="s">
        <v>28</v>
      </c>
      <c r="K79" s="5" t="s">
        <v>29</v>
      </c>
      <c r="L79" s="5" t="s">
        <v>30</v>
      </c>
      <c r="M79" s="5" t="s">
        <v>31</v>
      </c>
      <c r="N79" s="5" t="s">
        <v>39</v>
      </c>
      <c r="O79" s="5" t="s">
        <v>389</v>
      </c>
      <c r="P79" s="6"/>
      <c r="Q79" s="5"/>
    </row>
    <row r="80" customFormat="false" ht="63" hidden="false" customHeight="true" outlineLevel="0" collapsed="false">
      <c r="A80" s="4" t="s">
        <v>390</v>
      </c>
      <c r="B80" s="5" t="s">
        <v>378</v>
      </c>
      <c r="C80" s="5" t="s">
        <v>391</v>
      </c>
      <c r="D80" s="5" t="s">
        <v>22</v>
      </c>
      <c r="E80" s="5" t="s">
        <v>23</v>
      </c>
      <c r="F80" s="5" t="s">
        <v>24</v>
      </c>
      <c r="G80" s="5" t="s">
        <v>25</v>
      </c>
      <c r="H80" s="5" t="s">
        <v>36</v>
      </c>
      <c r="I80" s="5" t="s">
        <v>392</v>
      </c>
      <c r="J80" s="5" t="s">
        <v>28</v>
      </c>
      <c r="K80" s="5" t="s">
        <v>29</v>
      </c>
      <c r="L80" s="5" t="s">
        <v>393</v>
      </c>
      <c r="M80" s="5" t="s">
        <v>31</v>
      </c>
      <c r="N80" s="5" t="s">
        <v>39</v>
      </c>
      <c r="O80" s="5" t="s">
        <v>394</v>
      </c>
      <c r="P80" s="6"/>
      <c r="Q80" s="5"/>
    </row>
    <row r="81" customFormat="false" ht="33" hidden="false" customHeight="true" outlineLevel="0" collapsed="false">
      <c r="A81" s="4" t="s">
        <v>395</v>
      </c>
      <c r="B81" s="5" t="s">
        <v>378</v>
      </c>
      <c r="C81" s="5" t="s">
        <v>396</v>
      </c>
      <c r="D81" s="5" t="s">
        <v>22</v>
      </c>
      <c r="E81" s="5" t="s">
        <v>23</v>
      </c>
      <c r="F81" s="5" t="s">
        <v>24</v>
      </c>
      <c r="G81" s="5" t="s">
        <v>25</v>
      </c>
      <c r="H81" s="5" t="s">
        <v>36</v>
      </c>
      <c r="I81" s="5" t="s">
        <v>397</v>
      </c>
      <c r="J81" s="5" t="s">
        <v>28</v>
      </c>
      <c r="K81" s="5" t="s">
        <v>29</v>
      </c>
      <c r="L81" s="5" t="s">
        <v>30</v>
      </c>
      <c r="M81" s="5" t="s">
        <v>31</v>
      </c>
      <c r="N81" s="5" t="s">
        <v>39</v>
      </c>
      <c r="O81" s="5"/>
      <c r="P81" s="6"/>
      <c r="Q81" s="5"/>
    </row>
    <row r="82" customFormat="false" ht="48" hidden="false" customHeight="true" outlineLevel="0" collapsed="false">
      <c r="A82" s="4" t="s">
        <v>398</v>
      </c>
      <c r="B82" s="5" t="s">
        <v>378</v>
      </c>
      <c r="C82" s="5" t="s">
        <v>399</v>
      </c>
      <c r="D82" s="5" t="s">
        <v>22</v>
      </c>
      <c r="E82" s="5" t="s">
        <v>23</v>
      </c>
      <c r="F82" s="5" t="s">
        <v>24</v>
      </c>
      <c r="G82" s="5" t="s">
        <v>25</v>
      </c>
      <c r="H82" s="5" t="s">
        <v>36</v>
      </c>
      <c r="I82" s="5" t="s">
        <v>400</v>
      </c>
      <c r="J82" s="5" t="s">
        <v>28</v>
      </c>
      <c r="K82" s="5" t="s">
        <v>29</v>
      </c>
      <c r="L82" s="5" t="s">
        <v>160</v>
      </c>
      <c r="M82" s="5" t="s">
        <v>31</v>
      </c>
      <c r="N82" s="5" t="s">
        <v>39</v>
      </c>
      <c r="O82" s="5"/>
      <c r="P82" s="6"/>
      <c r="Q82" s="5"/>
    </row>
    <row r="83" customFormat="false" ht="33" hidden="false" customHeight="true" outlineLevel="0" collapsed="false">
      <c r="A83" s="4" t="s">
        <v>401</v>
      </c>
      <c r="B83" s="5" t="s">
        <v>378</v>
      </c>
      <c r="C83" s="5" t="s">
        <v>402</v>
      </c>
      <c r="D83" s="5" t="s">
        <v>22</v>
      </c>
      <c r="E83" s="5" t="s">
        <v>23</v>
      </c>
      <c r="F83" s="5" t="s">
        <v>24</v>
      </c>
      <c r="G83" s="5" t="s">
        <v>25</v>
      </c>
      <c r="H83" s="5" t="s">
        <v>36</v>
      </c>
      <c r="I83" s="5" t="s">
        <v>403</v>
      </c>
      <c r="J83" s="5" t="s">
        <v>28</v>
      </c>
      <c r="K83" s="5" t="s">
        <v>29</v>
      </c>
      <c r="L83" s="5" t="s">
        <v>160</v>
      </c>
      <c r="M83" s="5" t="s">
        <v>31</v>
      </c>
      <c r="N83" s="5" t="s">
        <v>39</v>
      </c>
      <c r="O83" s="5"/>
      <c r="P83" s="6"/>
      <c r="Q83" s="5"/>
    </row>
    <row r="84" customFormat="false" ht="33" hidden="false" customHeight="true" outlineLevel="0" collapsed="false">
      <c r="A84" s="4" t="s">
        <v>404</v>
      </c>
      <c r="B84" s="5" t="s">
        <v>378</v>
      </c>
      <c r="C84" s="5" t="s">
        <v>405</v>
      </c>
      <c r="D84" s="5" t="s">
        <v>406</v>
      </c>
      <c r="E84" s="5" t="s">
        <v>23</v>
      </c>
      <c r="F84" s="5" t="s">
        <v>24</v>
      </c>
      <c r="G84" s="5" t="s">
        <v>25</v>
      </c>
      <c r="H84" s="5" t="s">
        <v>36</v>
      </c>
      <c r="I84" s="5" t="s">
        <v>407</v>
      </c>
      <c r="J84" s="5" t="s">
        <v>28</v>
      </c>
      <c r="K84" s="5" t="s">
        <v>29</v>
      </c>
      <c r="L84" s="5" t="s">
        <v>145</v>
      </c>
      <c r="M84" s="5" t="s">
        <v>31</v>
      </c>
      <c r="N84" s="5" t="s">
        <v>39</v>
      </c>
      <c r="O84" s="5" t="s">
        <v>408</v>
      </c>
      <c r="P84" s="6"/>
      <c r="Q84" s="5"/>
    </row>
    <row r="85" customFormat="false" ht="48" hidden="false" customHeight="true" outlineLevel="0" collapsed="false">
      <c r="A85" s="4" t="s">
        <v>409</v>
      </c>
      <c r="B85" s="5" t="s">
        <v>378</v>
      </c>
      <c r="C85" s="5" t="s">
        <v>410</v>
      </c>
      <c r="D85" s="5" t="s">
        <v>43</v>
      </c>
      <c r="E85" s="5" t="s">
        <v>205</v>
      </c>
      <c r="F85" s="5" t="s">
        <v>24</v>
      </c>
      <c r="G85" s="5" t="s">
        <v>99</v>
      </c>
      <c r="H85" s="5" t="s">
        <v>46</v>
      </c>
      <c r="I85" s="5" t="s">
        <v>411</v>
      </c>
      <c r="J85" s="5" t="s">
        <v>28</v>
      </c>
      <c r="K85" s="5" t="s">
        <v>101</v>
      </c>
      <c r="L85" s="5" t="s">
        <v>165</v>
      </c>
      <c r="M85" s="5" t="s">
        <v>103</v>
      </c>
      <c r="N85" s="5" t="s">
        <v>50</v>
      </c>
      <c r="O85" s="5" t="s">
        <v>412</v>
      </c>
      <c r="P85" s="6"/>
      <c r="Q85" s="5" t="s">
        <v>52</v>
      </c>
    </row>
    <row r="86" customFormat="false" ht="33" hidden="false" customHeight="true" outlineLevel="0" collapsed="false">
      <c r="A86" s="4" t="s">
        <v>413</v>
      </c>
      <c r="B86" s="5" t="s">
        <v>414</v>
      </c>
      <c r="C86" s="5" t="s">
        <v>415</v>
      </c>
      <c r="D86" s="5" t="s">
        <v>22</v>
      </c>
      <c r="E86" s="5" t="s">
        <v>23</v>
      </c>
      <c r="F86" s="5" t="s">
        <v>24</v>
      </c>
      <c r="G86" s="5" t="s">
        <v>25</v>
      </c>
      <c r="H86" s="5" t="s">
        <v>36</v>
      </c>
      <c r="I86" s="5" t="s">
        <v>416</v>
      </c>
      <c r="J86" s="5" t="s">
        <v>28</v>
      </c>
      <c r="K86" s="5" t="s">
        <v>29</v>
      </c>
      <c r="L86" s="5" t="s">
        <v>30</v>
      </c>
      <c r="M86" s="5" t="s">
        <v>31</v>
      </c>
      <c r="N86" s="5" t="s">
        <v>39</v>
      </c>
      <c r="O86" s="5" t="s">
        <v>417</v>
      </c>
      <c r="P86" s="6"/>
      <c r="Q86" s="5"/>
    </row>
    <row r="87" customFormat="false" ht="63" hidden="false" customHeight="true" outlineLevel="0" collapsed="false">
      <c r="A87" s="4" t="s">
        <v>418</v>
      </c>
      <c r="B87" s="5" t="s">
        <v>414</v>
      </c>
      <c r="C87" s="5" t="s">
        <v>419</v>
      </c>
      <c r="D87" s="5" t="s">
        <v>22</v>
      </c>
      <c r="E87" s="5" t="s">
        <v>23</v>
      </c>
      <c r="F87" s="5" t="s">
        <v>24</v>
      </c>
      <c r="G87" s="5" t="s">
        <v>25</v>
      </c>
      <c r="H87" s="5" t="s">
        <v>26</v>
      </c>
      <c r="I87" s="5" t="s">
        <v>420</v>
      </c>
      <c r="J87" s="5" t="s">
        <v>28</v>
      </c>
      <c r="K87" s="5" t="s">
        <v>29</v>
      </c>
      <c r="L87" s="5" t="s">
        <v>421</v>
      </c>
      <c r="M87" s="5" t="s">
        <v>31</v>
      </c>
      <c r="N87" s="5" t="s">
        <v>32</v>
      </c>
      <c r="O87" s="5" t="s">
        <v>422</v>
      </c>
      <c r="P87" s="6"/>
      <c r="Q87" s="5" t="s">
        <v>52</v>
      </c>
    </row>
    <row r="88" customFormat="false" ht="33" hidden="false" customHeight="true" outlineLevel="0" collapsed="false">
      <c r="A88" s="4" t="s">
        <v>423</v>
      </c>
      <c r="B88" s="5" t="s">
        <v>414</v>
      </c>
      <c r="C88" s="5" t="s">
        <v>424</v>
      </c>
      <c r="D88" s="5" t="s">
        <v>22</v>
      </c>
      <c r="E88" s="5" t="s">
        <v>23</v>
      </c>
      <c r="F88" s="5" t="s">
        <v>24</v>
      </c>
      <c r="G88" s="5" t="s">
        <v>25</v>
      </c>
      <c r="H88" s="5" t="s">
        <v>36</v>
      </c>
      <c r="I88" s="5" t="s">
        <v>425</v>
      </c>
      <c r="J88" s="5" t="s">
        <v>28</v>
      </c>
      <c r="K88" s="5" t="s">
        <v>29</v>
      </c>
      <c r="L88" s="5" t="s">
        <v>30</v>
      </c>
      <c r="M88" s="5" t="s">
        <v>31</v>
      </c>
      <c r="N88" s="5" t="s">
        <v>39</v>
      </c>
      <c r="O88" s="5" t="s">
        <v>426</v>
      </c>
      <c r="P88" s="6"/>
      <c r="Q88" s="5"/>
    </row>
    <row r="89" customFormat="false" ht="33" hidden="false" customHeight="true" outlineLevel="0" collapsed="false">
      <c r="A89" s="4" t="s">
        <v>427</v>
      </c>
      <c r="B89" s="5" t="s">
        <v>414</v>
      </c>
      <c r="C89" s="5" t="s">
        <v>428</v>
      </c>
      <c r="D89" s="5" t="s">
        <v>22</v>
      </c>
      <c r="E89" s="5" t="s">
        <v>23</v>
      </c>
      <c r="F89" s="5" t="s">
        <v>24</v>
      </c>
      <c r="G89" s="5" t="s">
        <v>25</v>
      </c>
      <c r="H89" s="5" t="s">
        <v>36</v>
      </c>
      <c r="I89" s="5" t="s">
        <v>429</v>
      </c>
      <c r="J89" s="5" t="s">
        <v>28</v>
      </c>
      <c r="K89" s="5" t="s">
        <v>29</v>
      </c>
      <c r="L89" s="5" t="s">
        <v>30</v>
      </c>
      <c r="M89" s="5" t="s">
        <v>31</v>
      </c>
      <c r="N89" s="5" t="s">
        <v>39</v>
      </c>
      <c r="O89" s="5" t="s">
        <v>430</v>
      </c>
      <c r="P89" s="6"/>
      <c r="Q89" s="5"/>
    </row>
    <row r="90" customFormat="false" ht="33" hidden="false" customHeight="true" outlineLevel="0" collapsed="false">
      <c r="A90" s="4" t="s">
        <v>431</v>
      </c>
      <c r="B90" s="5" t="s">
        <v>414</v>
      </c>
      <c r="C90" s="5" t="s">
        <v>432</v>
      </c>
      <c r="D90" s="5" t="s">
        <v>43</v>
      </c>
      <c r="E90" s="5" t="s">
        <v>23</v>
      </c>
      <c r="F90" s="5" t="s">
        <v>24</v>
      </c>
      <c r="G90" s="5" t="s">
        <v>25</v>
      </c>
      <c r="H90" s="5" t="s">
        <v>46</v>
      </c>
      <c r="I90" s="5" t="s">
        <v>433</v>
      </c>
      <c r="J90" s="5" t="s">
        <v>28</v>
      </c>
      <c r="K90" s="5" t="s">
        <v>29</v>
      </c>
      <c r="L90" s="5" t="s">
        <v>434</v>
      </c>
      <c r="M90" s="5" t="s">
        <v>103</v>
      </c>
      <c r="N90" s="5" t="s">
        <v>50</v>
      </c>
      <c r="O90" s="5" t="s">
        <v>435</v>
      </c>
      <c r="P90" s="6"/>
      <c r="Q90" s="5"/>
    </row>
    <row r="91" customFormat="false" ht="48" hidden="false" customHeight="true" outlineLevel="0" collapsed="false">
      <c r="A91" s="4" t="s">
        <v>436</v>
      </c>
      <c r="B91" s="5" t="s">
        <v>414</v>
      </c>
      <c r="C91" s="5" t="s">
        <v>437</v>
      </c>
      <c r="D91" s="5" t="s">
        <v>22</v>
      </c>
      <c r="E91" s="5" t="s">
        <v>23</v>
      </c>
      <c r="F91" s="5" t="s">
        <v>63</v>
      </c>
      <c r="G91" s="5" t="s">
        <v>438</v>
      </c>
      <c r="H91" s="5" t="s">
        <v>26</v>
      </c>
      <c r="I91" s="5" t="s">
        <v>439</v>
      </c>
      <c r="J91" s="5" t="s">
        <v>48</v>
      </c>
      <c r="K91" s="5" t="s">
        <v>49</v>
      </c>
      <c r="L91" s="5" t="s">
        <v>49</v>
      </c>
      <c r="M91" s="5" t="s">
        <v>31</v>
      </c>
      <c r="N91" s="5" t="s">
        <v>32</v>
      </c>
      <c r="O91" s="5" t="s">
        <v>440</v>
      </c>
      <c r="P91" s="6"/>
      <c r="Q91" s="5"/>
    </row>
    <row r="92" customFormat="false" ht="48" hidden="false" customHeight="true" outlineLevel="0" collapsed="false">
      <c r="A92" s="4" t="s">
        <v>441</v>
      </c>
      <c r="B92" s="5" t="s">
        <v>442</v>
      </c>
      <c r="C92" s="5" t="s">
        <v>443</v>
      </c>
      <c r="D92" s="5" t="s">
        <v>22</v>
      </c>
      <c r="E92" s="5" t="s">
        <v>62</v>
      </c>
      <c r="F92" s="5" t="s">
        <v>24</v>
      </c>
      <c r="G92" s="5" t="s">
        <v>444</v>
      </c>
      <c r="H92" s="5" t="s">
        <v>26</v>
      </c>
      <c r="I92" s="5" t="s">
        <v>445</v>
      </c>
      <c r="J92" s="5" t="s">
        <v>58</v>
      </c>
      <c r="K92" s="5" t="s">
        <v>446</v>
      </c>
      <c r="L92" s="5" t="s">
        <v>49</v>
      </c>
      <c r="M92" s="5" t="s">
        <v>31</v>
      </c>
      <c r="N92" s="5" t="s">
        <v>32</v>
      </c>
      <c r="O92" s="5" t="s">
        <v>447</v>
      </c>
      <c r="P92" s="6"/>
      <c r="Q92" s="5" t="s">
        <v>52</v>
      </c>
    </row>
    <row r="93" customFormat="false" ht="48" hidden="false" customHeight="true" outlineLevel="0" collapsed="false">
      <c r="A93" s="4" t="s">
        <v>448</v>
      </c>
      <c r="B93" s="5" t="s">
        <v>442</v>
      </c>
      <c r="C93" s="5" t="s">
        <v>449</v>
      </c>
      <c r="D93" s="5" t="s">
        <v>22</v>
      </c>
      <c r="E93" s="5" t="s">
        <v>62</v>
      </c>
      <c r="F93" s="5" t="s">
        <v>93</v>
      </c>
      <c r="G93" s="5" t="s">
        <v>450</v>
      </c>
      <c r="H93" s="5" t="s">
        <v>36</v>
      </c>
      <c r="I93" s="5" t="s">
        <v>451</v>
      </c>
      <c r="J93" s="5" t="s">
        <v>48</v>
      </c>
      <c r="K93" s="5" t="s">
        <v>49</v>
      </c>
      <c r="L93" s="5" t="s">
        <v>49</v>
      </c>
      <c r="M93" s="5" t="s">
        <v>31</v>
      </c>
      <c r="N93" s="5" t="s">
        <v>39</v>
      </c>
      <c r="O93" s="5" t="s">
        <v>452</v>
      </c>
      <c r="P93" s="6"/>
      <c r="Q93" s="5" t="s">
        <v>52</v>
      </c>
    </row>
    <row r="94" customFormat="false" ht="33" hidden="false" customHeight="true" outlineLevel="0" collapsed="false">
      <c r="A94" s="4" t="s">
        <v>453</v>
      </c>
      <c r="B94" s="5" t="s">
        <v>442</v>
      </c>
      <c r="C94" s="5" t="s">
        <v>454</v>
      </c>
      <c r="D94" s="5" t="s">
        <v>22</v>
      </c>
      <c r="E94" s="5" t="s">
        <v>62</v>
      </c>
      <c r="F94" s="5" t="s">
        <v>93</v>
      </c>
      <c r="G94" s="5" t="s">
        <v>455</v>
      </c>
      <c r="H94" s="5" t="s">
        <v>36</v>
      </c>
      <c r="I94" s="5" t="s">
        <v>456</v>
      </c>
      <c r="J94" s="5" t="s">
        <v>48</v>
      </c>
      <c r="K94" s="5" t="s">
        <v>49</v>
      </c>
      <c r="L94" s="5" t="s">
        <v>49</v>
      </c>
      <c r="M94" s="5" t="s">
        <v>31</v>
      </c>
      <c r="N94" s="5" t="s">
        <v>39</v>
      </c>
      <c r="O94" s="5" t="s">
        <v>457</v>
      </c>
      <c r="P94" s="6"/>
      <c r="Q94" s="5" t="s">
        <v>52</v>
      </c>
    </row>
  </sheetData>
  <autoFilter ref="A4:Q94"/>
  <conditionalFormatting sqref="J5:J94">
    <cfRule type="expression" priority="2" aboveAverage="0" equalAverage="0" bottom="0" percent="0" rank="0" text="" dxfId="8">
      <formula>J5="Cumple"</formula>
    </cfRule>
    <cfRule type="expression" priority="3" aboveAverage="0" equalAverage="0" bottom="0" percent="0" rank="0" text="" dxfId="8">
      <formula>J5="Verificado"</formula>
    </cfRule>
    <cfRule type="expression" priority="4" aboveAverage="0" equalAverage="0" bottom="0" percent="0" rank="0" text="" dxfId="9">
      <formula>OR(J5="Cumple parcialmente",J5="Verificado parcialmente")</formula>
    </cfRule>
    <cfRule type="expression" priority="5" aboveAverage="0" equalAverage="0" bottom="0" percent="0" rank="0" text="" dxfId="10">
      <formula>J5="No cumple"</formula>
    </cfRule>
    <cfRule type="expression" priority="6" aboveAverage="0" equalAverage="0" bottom="0" percent="0" rank="0" text="" dxfId="11">
      <formula>J5="No aplica"</formula>
    </cfRule>
  </conditionalFormatting>
  <conditionalFormatting sqref="M5:M94">
    <cfRule type="expression" priority="7" aboveAverage="0" equalAverage="0" bottom="0" percent="0" rank="0" text="" dxfId="8">
      <formula>M5="Cumple"</formula>
    </cfRule>
    <cfRule type="expression" priority="8" aboveAverage="0" equalAverage="0" bottom="0" percent="0" rank="0" text="" dxfId="8">
      <formula>M5="Verificado"</formula>
    </cfRule>
    <cfRule type="expression" priority="9" aboveAverage="0" equalAverage="0" bottom="0" percent="0" rank="0" text="" dxfId="9">
      <formula>OR(M5="Cumple parcialmente",M5="Verificado parcialmente")</formula>
    </cfRule>
    <cfRule type="expression" priority="10" aboveAverage="0" equalAverage="0" bottom="0" percent="0" rank="0" text="" dxfId="10">
      <formula>M5="No cumple"</formula>
    </cfRule>
    <cfRule type="expression" priority="11" aboveAverage="0" equalAverage="0" bottom="0" percent="0" rank="0" text="" dxfId="11">
      <formula>M5="No aplica"</formula>
    </cfRule>
  </conditionalFormatting>
  <dataValidations count="3">
    <dataValidation allowBlank="false" error="Elige un valor de la lista. Están descritos en la hoja Leyenda." errorStyle="stop" errorTitle="Valor no válido" operator="between" showDropDown="false" showErrorMessage="false" showInputMessage="false" sqref="J5:J94" type="list">
      <formula1>"Cumple,Cumple parcialmente,No cumple,No aplica"</formula1>
      <formula2>0</formula2>
    </dataValidation>
    <dataValidation allowBlank="false" error="Elige un valor de la lista. Están descritos en la hoja Leyenda." errorStyle="stop" errorTitle="Valor no válido" operator="between" showDropDown="false" showErrorMessage="false" showInputMessage="false" sqref="M5:M94" type="list">
      <formula1>"Verificado,Verificado parcialmente,Pendiente,No aplica"</formula1>
      <formula2>0</formula2>
    </dataValidation>
    <dataValidation allowBlank="false" error="Elige un valor de la lista. Están descritos en la hoja Leyenda." errorStyle="stop" errorTitle="Valor no válido" operator="between" showDropDown="false" showErrorMessage="false" showInputMessage="false" sqref="H5:H94" type="list">
      <formula1>"I,A,D,T,I+T,N/A"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1"/>
    <col collapsed="false" customWidth="true" hidden="false" outlineLevel="0" max="4" min="4" style="0" width="14"/>
    <col collapsed="false" customWidth="true" hidden="false" outlineLevel="0" max="5" min="5" style="0" width="12"/>
    <col collapsed="false" customWidth="true" hidden="false" outlineLevel="0" max="6" min="6" style="0" width="11"/>
    <col collapsed="false" customWidth="true" hidden="false" outlineLevel="0" max="7" min="7" style="0" width="13"/>
    <col collapsed="false" customWidth="true" hidden="false" outlineLevel="0" max="8" min="8" style="0" width="12"/>
    <col collapsed="false" customWidth="true" hidden="false" outlineLevel="0" max="9" min="9" style="0" width="14"/>
  </cols>
  <sheetData>
    <row r="1" customFormat="false" ht="17.35" hidden="false" customHeight="false" outlineLevel="0" collapsed="false">
      <c r="A1" s="1" t="s">
        <v>458</v>
      </c>
    </row>
    <row r="2" customFormat="false" ht="15" hidden="false" customHeight="false" outlineLevel="0" collapsed="false">
      <c r="A2" s="2" t="s">
        <v>459</v>
      </c>
    </row>
    <row r="4" customFormat="false" ht="30" hidden="false" customHeight="true" outlineLevel="0" collapsed="false">
      <c r="A4" s="3" t="s">
        <v>7</v>
      </c>
      <c r="B4" s="3" t="s">
        <v>460</v>
      </c>
      <c r="C4" s="3" t="s">
        <v>28</v>
      </c>
      <c r="D4" s="3" t="s">
        <v>58</v>
      </c>
      <c r="E4" s="3" t="s">
        <v>48</v>
      </c>
      <c r="F4" s="3" t="s">
        <v>310</v>
      </c>
      <c r="G4" s="3" t="s">
        <v>461</v>
      </c>
      <c r="H4" s="3" t="s">
        <v>462</v>
      </c>
      <c r="I4" s="3" t="s">
        <v>463</v>
      </c>
    </row>
    <row r="5" customFormat="false" ht="15" hidden="false" customHeight="false" outlineLevel="0" collapsed="false">
      <c r="A5" s="7" t="s">
        <v>464</v>
      </c>
      <c r="B5" s="7" t="n">
        <f aca="false">COUNTIF(Matriz!$F$5:$F$94,"*F1*")</f>
        <v>59</v>
      </c>
      <c r="C5" s="7" t="n">
        <f aca="false">COUNTIFS(Matriz!$F$5:$F$94,"*F1*",Matriz!$J$5:$J$94,"Cumple")</f>
        <v>58</v>
      </c>
      <c r="D5" s="7" t="n">
        <f aca="false">COUNTIFS(Matriz!$F$5:$F$94,"*F1*",Matriz!$J$5:$J$94,"Cumple parcialmente")</f>
        <v>1</v>
      </c>
      <c r="E5" s="7" t="n">
        <f aca="false">COUNTIFS(Matriz!$F$5:$F$94,"*F1*",Matriz!$J$5:$J$94,"No cumple")</f>
        <v>0</v>
      </c>
      <c r="F5" s="7" t="n">
        <f aca="false">COUNTIFS(Matriz!$F$5:$F$94,"*F1*",Matriz!$J$5:$J$94,"No aplica")</f>
        <v>0</v>
      </c>
      <c r="G5" s="8" t="n">
        <f aca="false">IFERROR(C5/B5,0)</f>
        <v>0.983050847457627</v>
      </c>
      <c r="H5" s="7" t="n">
        <f aca="false">COUNTIFS(Matriz!$F$5:$F$94,"*F1*",Matriz!$M$5:$M$94,"Verificado")</f>
        <v>0</v>
      </c>
      <c r="I5" s="7" t="n">
        <f aca="false">COUNTIFS(Matriz!$F$5:$F$94,"*F1*",Matriz!$M$5:$M$94,"Verificado parcialmente")</f>
        <v>13</v>
      </c>
    </row>
    <row r="6" customFormat="false" ht="15" hidden="false" customHeight="false" outlineLevel="0" collapsed="false">
      <c r="A6" s="7" t="s">
        <v>465</v>
      </c>
      <c r="B6" s="7" t="n">
        <f aca="false">COUNTIF(Matriz!$F$5:$F$94,"*F2*")</f>
        <v>7</v>
      </c>
      <c r="C6" s="7" t="n">
        <f aca="false">COUNTIFS(Matriz!$F$5:$F$94,"*F2*",Matriz!$J$5:$J$94,"Cumple")</f>
        <v>1</v>
      </c>
      <c r="D6" s="7" t="n">
        <f aca="false">COUNTIFS(Matriz!$F$5:$F$94,"*F2*",Matriz!$J$5:$J$94,"Cumple parcialmente")</f>
        <v>4</v>
      </c>
      <c r="E6" s="7" t="n">
        <f aca="false">COUNTIFS(Matriz!$F$5:$F$94,"*F2*",Matriz!$J$5:$J$94,"No cumple")</f>
        <v>2</v>
      </c>
      <c r="F6" s="7" t="n">
        <f aca="false">COUNTIFS(Matriz!$F$5:$F$94,"*F2*",Matriz!$J$5:$J$94,"No aplica")</f>
        <v>0</v>
      </c>
      <c r="G6" s="8" t="n">
        <f aca="false">IFERROR(C6/B6,0)</f>
        <v>0.142857142857143</v>
      </c>
      <c r="H6" s="7" t="n">
        <f aca="false">COUNTIFS(Matriz!$F$5:$F$94,"*F2*",Matriz!$M$5:$M$94,"Verificado")</f>
        <v>0</v>
      </c>
      <c r="I6" s="7" t="n">
        <f aca="false">COUNTIFS(Matriz!$F$5:$F$94,"*F2*",Matriz!$M$5:$M$94,"Verificado parcialmente")</f>
        <v>0</v>
      </c>
    </row>
    <row r="7" customFormat="false" ht="15" hidden="false" customHeight="false" outlineLevel="0" collapsed="false">
      <c r="A7" s="7" t="s">
        <v>466</v>
      </c>
      <c r="B7" s="7" t="n">
        <f aca="false">COUNTIF(Matriz!$F$5:$F$94,"*F3*")</f>
        <v>3</v>
      </c>
      <c r="C7" s="7" t="n">
        <f aca="false">COUNTIFS(Matriz!$F$5:$F$94,"*F3*",Matriz!$J$5:$J$94,"Cumple")</f>
        <v>0</v>
      </c>
      <c r="D7" s="7" t="n">
        <f aca="false">COUNTIFS(Matriz!$F$5:$F$94,"*F3*",Matriz!$J$5:$J$94,"Cumple parcialmente")</f>
        <v>2</v>
      </c>
      <c r="E7" s="7" t="n">
        <f aca="false">COUNTIFS(Matriz!$F$5:$F$94,"*F3*",Matriz!$J$5:$J$94,"No cumple")</f>
        <v>1</v>
      </c>
      <c r="F7" s="7" t="n">
        <f aca="false">COUNTIFS(Matriz!$F$5:$F$94,"*F3*",Matriz!$J$5:$J$94,"No aplica")</f>
        <v>0</v>
      </c>
      <c r="G7" s="8" t="n">
        <f aca="false">IFERROR(C7/B7,0)</f>
        <v>0</v>
      </c>
      <c r="H7" s="7" t="n">
        <f aca="false">COUNTIFS(Matriz!$F$5:$F$94,"*F3*",Matriz!$M$5:$M$94,"Verificado")</f>
        <v>0</v>
      </c>
      <c r="I7" s="7" t="n">
        <f aca="false">COUNTIFS(Matriz!$F$5:$F$94,"*F3*",Matriz!$M$5:$M$94,"Verificado parcialmente")</f>
        <v>0</v>
      </c>
    </row>
    <row r="8" customFormat="false" ht="15" hidden="false" customHeight="false" outlineLevel="0" collapsed="false">
      <c r="A8" s="7" t="s">
        <v>467</v>
      </c>
      <c r="B8" s="7" t="n">
        <f aca="false">COUNTIF(Matriz!$F$5:$F$94,"*F4*")</f>
        <v>7</v>
      </c>
      <c r="C8" s="7" t="n">
        <f aca="false">COUNTIFS(Matriz!$F$5:$F$94,"*F4*",Matriz!$J$5:$J$94,"Cumple")</f>
        <v>0</v>
      </c>
      <c r="D8" s="7" t="n">
        <f aca="false">COUNTIFS(Matriz!$F$5:$F$94,"*F4*",Matriz!$J$5:$J$94,"Cumple parcialmente")</f>
        <v>1</v>
      </c>
      <c r="E8" s="7" t="n">
        <f aca="false">COUNTIFS(Matriz!$F$5:$F$94,"*F4*",Matriz!$J$5:$J$94,"No cumple")</f>
        <v>6</v>
      </c>
      <c r="F8" s="7" t="n">
        <f aca="false">COUNTIFS(Matriz!$F$5:$F$94,"*F4*",Matriz!$J$5:$J$94,"No aplica")</f>
        <v>0</v>
      </c>
      <c r="G8" s="8" t="n">
        <f aca="false">IFERROR(C8/B8,0)</f>
        <v>0</v>
      </c>
      <c r="H8" s="7" t="n">
        <f aca="false">COUNTIFS(Matriz!$F$5:$F$94,"*F4*",Matriz!$M$5:$M$94,"Verificado")</f>
        <v>0</v>
      </c>
      <c r="I8" s="7" t="n">
        <f aca="false">COUNTIFS(Matriz!$F$5:$F$94,"*F4*",Matriz!$M$5:$M$94,"Verificado parcialmente")</f>
        <v>0</v>
      </c>
    </row>
    <row r="9" customFormat="false" ht="15" hidden="false" customHeight="false" outlineLevel="0" collapsed="false">
      <c r="A9" s="7" t="s">
        <v>468</v>
      </c>
      <c r="B9" s="7" t="n">
        <f aca="false">COUNTIF(Matriz!$F$5:$F$94,"*F5*")</f>
        <v>7</v>
      </c>
      <c r="C9" s="7" t="n">
        <f aca="false">COUNTIFS(Matriz!$F$5:$F$94,"*F5*",Matriz!$J$5:$J$94,"Cumple")</f>
        <v>0</v>
      </c>
      <c r="D9" s="7" t="n">
        <f aca="false">COUNTIFS(Matriz!$F$5:$F$94,"*F5*",Matriz!$J$5:$J$94,"Cumple parcialmente")</f>
        <v>1</v>
      </c>
      <c r="E9" s="7" t="n">
        <f aca="false">COUNTIFS(Matriz!$F$5:$F$94,"*F5*",Matriz!$J$5:$J$94,"No cumple")</f>
        <v>6</v>
      </c>
      <c r="F9" s="7" t="n">
        <f aca="false">COUNTIFS(Matriz!$F$5:$F$94,"*F5*",Matriz!$J$5:$J$94,"No aplica")</f>
        <v>0</v>
      </c>
      <c r="G9" s="8" t="n">
        <f aca="false">IFERROR(C9/B9,0)</f>
        <v>0</v>
      </c>
      <c r="H9" s="7" t="n">
        <f aca="false">COUNTIFS(Matriz!$F$5:$F$94,"*F5*",Matriz!$M$5:$M$94,"Verificado")</f>
        <v>0</v>
      </c>
      <c r="I9" s="7" t="n">
        <f aca="false">COUNTIFS(Matriz!$F$5:$F$94,"*F5*",Matriz!$M$5:$M$94,"Verificado parcialmente")</f>
        <v>0</v>
      </c>
    </row>
    <row r="10" customFormat="false" ht="15" hidden="false" customHeight="false" outlineLevel="0" collapsed="false">
      <c r="A10" s="7" t="s">
        <v>469</v>
      </c>
      <c r="B10" s="7" t="n">
        <f aca="false">COUNTIF(Matriz!$F$5:$F$94,"*F6*")</f>
        <v>5</v>
      </c>
      <c r="C10" s="7" t="n">
        <f aca="false">COUNTIFS(Matriz!$F$5:$F$94,"*F6*",Matriz!$J$5:$J$94,"Cumple")</f>
        <v>0</v>
      </c>
      <c r="D10" s="7" t="n">
        <f aca="false">COUNTIFS(Matriz!$F$5:$F$94,"*F6*",Matriz!$J$5:$J$94,"Cumple parcialmente")</f>
        <v>2</v>
      </c>
      <c r="E10" s="7" t="n">
        <f aca="false">COUNTIFS(Matriz!$F$5:$F$94,"*F6*",Matriz!$J$5:$J$94,"No cumple")</f>
        <v>3</v>
      </c>
      <c r="F10" s="7" t="n">
        <f aca="false">COUNTIFS(Matriz!$F$5:$F$94,"*F6*",Matriz!$J$5:$J$94,"No aplica")</f>
        <v>0</v>
      </c>
      <c r="G10" s="8" t="n">
        <f aca="false">IFERROR(C10/B10,0)</f>
        <v>0</v>
      </c>
      <c r="H10" s="7" t="n">
        <f aca="false">COUNTIFS(Matriz!$F$5:$F$94,"*F6*",Matriz!$M$5:$M$94,"Verificado")</f>
        <v>0</v>
      </c>
      <c r="I10" s="7" t="n">
        <f aca="false">COUNTIFS(Matriz!$F$5:$F$94,"*F6*",Matriz!$M$5:$M$94,"Verificado parcialmente")</f>
        <v>0</v>
      </c>
    </row>
    <row r="11" customFormat="false" ht="15" hidden="false" customHeight="false" outlineLevel="0" collapsed="false">
      <c r="A11" s="7" t="s">
        <v>470</v>
      </c>
      <c r="B11" s="7" t="n">
        <f aca="false">COUNTIF(Matriz!$F$5:$F$94,"*F7*")</f>
        <v>7</v>
      </c>
      <c r="C11" s="7" t="n">
        <f aca="false">COUNTIFS(Matriz!$F$5:$F$94,"*F7*",Matriz!$J$5:$J$94,"Cumple")</f>
        <v>0</v>
      </c>
      <c r="D11" s="7" t="n">
        <f aca="false">COUNTIFS(Matriz!$F$5:$F$94,"*F7*",Matriz!$J$5:$J$94,"Cumple parcialmente")</f>
        <v>4</v>
      </c>
      <c r="E11" s="7" t="n">
        <f aca="false">COUNTIFS(Matriz!$F$5:$F$94,"*F7*",Matriz!$J$5:$J$94,"No cumple")</f>
        <v>3</v>
      </c>
      <c r="F11" s="7" t="n">
        <f aca="false">COUNTIFS(Matriz!$F$5:$F$94,"*F7*",Matriz!$J$5:$J$94,"No aplica")</f>
        <v>0</v>
      </c>
      <c r="G11" s="8" t="n">
        <f aca="false">IFERROR(C11/B11,0)</f>
        <v>0</v>
      </c>
      <c r="H11" s="7" t="n">
        <f aca="false">COUNTIFS(Matriz!$F$5:$F$94,"*F7*",Matriz!$M$5:$M$94,"Verificado")</f>
        <v>0</v>
      </c>
      <c r="I11" s="7" t="n">
        <f aca="false">COUNTIFS(Matriz!$F$5:$F$94,"*F7*",Matriz!$M$5:$M$94,"Verificado parcialmente")</f>
        <v>0</v>
      </c>
    </row>
    <row r="12" customFormat="false" ht="15" hidden="false" customHeight="false" outlineLevel="0" collapsed="false">
      <c r="A12" s="7" t="s">
        <v>471</v>
      </c>
      <c r="B12" s="7" t="n">
        <f aca="false">COUNTIF(Matriz!$F$5:$F$94,"*Posterior*")</f>
        <v>2</v>
      </c>
      <c r="C12" s="7" t="n">
        <f aca="false">COUNTIFS(Matriz!$F$5:$F$94,"*Posterior*",Matriz!$J$5:$J$94,"Cumple")</f>
        <v>0</v>
      </c>
      <c r="D12" s="7" t="n">
        <f aca="false">COUNTIFS(Matriz!$F$5:$F$94,"*Posterior*",Matriz!$J$5:$J$94,"Cumple parcialmente")</f>
        <v>0</v>
      </c>
      <c r="E12" s="7" t="n">
        <f aca="false">COUNTIFS(Matriz!$F$5:$F$94,"*Posterior*",Matriz!$J$5:$J$94,"No cumple")</f>
        <v>0</v>
      </c>
      <c r="F12" s="7" t="n">
        <f aca="false">COUNTIFS(Matriz!$F$5:$F$94,"*Posterior*",Matriz!$J$5:$J$94,"No aplica")</f>
        <v>2</v>
      </c>
      <c r="G12" s="8" t="n">
        <f aca="false">IFERROR(C12/B12,0)</f>
        <v>0</v>
      </c>
      <c r="H12" s="7" t="n">
        <f aca="false">COUNTIFS(Matriz!$F$5:$F$94,"*Posterior*",Matriz!$M$5:$M$94,"Verificado")</f>
        <v>0</v>
      </c>
      <c r="I12" s="7" t="n">
        <f aca="false">COUNTIFS(Matriz!$F$5:$F$94,"*Posterior*",Matriz!$M$5:$M$94,"Verificado parcialmente")</f>
        <v>0</v>
      </c>
    </row>
    <row r="13" customFormat="false" ht="15" hidden="false" customHeight="false" outlineLevel="0" collapsed="false">
      <c r="A13" s="9" t="s">
        <v>472</v>
      </c>
      <c r="B13" s="9" t="n">
        <f aca="false">COUNTA(Matriz!$A$5:$A$94)</f>
        <v>90</v>
      </c>
      <c r="C13" s="9" t="n">
        <f aca="false">COUNTIF(Matriz!$J$5:$J$94,"Cumple")</f>
        <v>58</v>
      </c>
      <c r="D13" s="9" t="n">
        <f aca="false">COUNTIF(Matriz!$J$5:$J$94,"Cumple parcialmente")</f>
        <v>10</v>
      </c>
      <c r="E13" s="9" t="n">
        <f aca="false">COUNTIF(Matriz!$J$5:$J$94,"No cumple")</f>
        <v>20</v>
      </c>
      <c r="F13" s="9" t="n">
        <f aca="false">COUNTIF(Matriz!$J$5:$J$94,"No aplica")</f>
        <v>2</v>
      </c>
      <c r="G13" s="10" t="n">
        <f aca="false">IFERROR(C13/B13,0)</f>
        <v>0.644444444444445</v>
      </c>
      <c r="H13" s="9" t="n">
        <f aca="false">COUNTIF(Matriz!$M$5:$M$94,"Verificado")</f>
        <v>0</v>
      </c>
      <c r="I13" s="9" t="n">
        <f aca="false">COUNTIF(Matriz!$M$5:$M$94,"Verificado parcialmente")</f>
        <v>13</v>
      </c>
    </row>
    <row r="15" customFormat="false" ht="15" hidden="false" customHeight="false" outlineLevel="0" collapsed="false">
      <c r="A15" s="11" t="s">
        <v>473</v>
      </c>
    </row>
    <row r="16" customFormat="false" ht="15" hidden="false" customHeight="false" outlineLevel="0" collapsed="false">
      <c r="A16" s="12" t="s">
        <v>474</v>
      </c>
      <c r="B16" s="12" t="n">
        <f aca="false">COUNTIF(Matriz!$H$5:$H$94,"I")</f>
        <v>16</v>
      </c>
    </row>
    <row r="17" customFormat="false" ht="15" hidden="false" customHeight="false" outlineLevel="0" collapsed="false">
      <c r="A17" s="12" t="s">
        <v>475</v>
      </c>
      <c r="B17" s="12" t="n">
        <f aca="false">COUNTIF(Matriz!$H$5:$H$94,"A")</f>
        <v>1</v>
      </c>
    </row>
    <row r="18" customFormat="false" ht="15" hidden="false" customHeight="false" outlineLevel="0" collapsed="false">
      <c r="A18" s="12" t="s">
        <v>476</v>
      </c>
      <c r="B18" s="12" t="n">
        <f aca="false">COUNTIF(Matriz!$H$5:$H$94,"D")</f>
        <v>53</v>
      </c>
    </row>
    <row r="19" customFormat="false" ht="15" hidden="false" customHeight="false" outlineLevel="0" collapsed="false">
      <c r="A19" s="12" t="s">
        <v>477</v>
      </c>
      <c r="B19" s="12" t="n">
        <f aca="false">COUNTIF(Matriz!$H$5:$H$94,"T")</f>
        <v>17</v>
      </c>
    </row>
    <row r="20" customFormat="false" ht="15" hidden="false" customHeight="false" outlineLevel="0" collapsed="false">
      <c r="A20" s="12" t="s">
        <v>478</v>
      </c>
      <c r="B20" s="12" t="n">
        <f aca="false">COUNTIF(Matriz!$H$5:$H$94,"I+T")</f>
        <v>1</v>
      </c>
    </row>
    <row r="21" customFormat="false" ht="15" hidden="false" customHeight="false" outlineLevel="0" collapsed="false">
      <c r="A21" s="12" t="s">
        <v>479</v>
      </c>
      <c r="B21" s="12" t="n">
        <f aca="false">COUNTIF(Matriz!$H$5:$H$94,"N/A")</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s>
  <sheetData>
    <row r="1" customFormat="false" ht="63.75" hidden="false" customHeight="true" outlineLevel="0" collapsed="false">
      <c r="A1" s="13" t="s">
        <v>480</v>
      </c>
      <c r="B1" s="14" t="s">
        <v>481</v>
      </c>
    </row>
    <row r="2" customFormat="false" ht="33.75" hidden="false" customHeight="true" outlineLevel="0" collapsed="false">
      <c r="A2" s="13" t="s">
        <v>482</v>
      </c>
      <c r="B2" s="14" t="s">
        <v>483</v>
      </c>
    </row>
    <row r="3" customFormat="false" ht="33.75" hidden="false" customHeight="true" outlineLevel="0" collapsed="false">
      <c r="A3" s="13" t="s">
        <v>484</v>
      </c>
      <c r="B3" s="14" t="s">
        <v>485</v>
      </c>
    </row>
    <row r="4" customFormat="false" ht="18.75" hidden="false" customHeight="true" outlineLevel="0" collapsed="false">
      <c r="A4" s="13" t="s">
        <v>486</v>
      </c>
      <c r="B4" s="15" t="s">
        <v>487</v>
      </c>
    </row>
    <row r="5" customFormat="false" ht="33.75" hidden="false" customHeight="true" outlineLevel="0" collapsed="false">
      <c r="A5" s="13" t="s">
        <v>488</v>
      </c>
      <c r="B5" s="14" t="s">
        <v>489</v>
      </c>
    </row>
    <row r="6" customFormat="false" ht="33.75" hidden="false" customHeight="true" outlineLevel="0" collapsed="false">
      <c r="A6" s="13" t="s">
        <v>490</v>
      </c>
      <c r="B6" s="14" t="s">
        <v>491</v>
      </c>
    </row>
    <row r="7" customFormat="false" ht="18.75" hidden="false" customHeight="true" outlineLevel="0" collapsed="false">
      <c r="A7" s="13" t="s">
        <v>492</v>
      </c>
      <c r="B7" s="14" t="s">
        <v>493</v>
      </c>
    </row>
    <row r="8" customFormat="false" ht="33.75" hidden="false" customHeight="true" outlineLevel="0" collapsed="false">
      <c r="A8" s="13" t="s">
        <v>494</v>
      </c>
      <c r="B8" s="14" t="s">
        <v>495</v>
      </c>
    </row>
    <row r="9" customFormat="false" ht="33.75" hidden="false" customHeight="true" outlineLevel="0" collapsed="false">
      <c r="A9" s="13" t="s">
        <v>11</v>
      </c>
      <c r="B9" s="14" t="s">
        <v>496</v>
      </c>
    </row>
    <row r="10" customFormat="false" ht="48.75" hidden="false" customHeight="true" outlineLevel="0" collapsed="false">
      <c r="A10" s="13" t="s">
        <v>14</v>
      </c>
      <c r="B10" s="14" t="s">
        <v>497</v>
      </c>
    </row>
    <row r="11" customFormat="false" ht="33.75" hidden="false" customHeight="true" outlineLevel="0" collapsed="false">
      <c r="A11" s="13" t="s">
        <v>13</v>
      </c>
      <c r="B11" s="14" t="s">
        <v>498</v>
      </c>
    </row>
    <row r="12" customFormat="false" ht="33.75" hidden="false" customHeight="true" outlineLevel="0" collapsed="false">
      <c r="A12" s="13" t="s">
        <v>499</v>
      </c>
      <c r="B12" s="14" t="s">
        <v>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8"/>
    <col collapsed="false" customWidth="true" hidden="false" outlineLevel="0" max="5" min="5" style="0" width="90"/>
  </cols>
  <sheetData>
    <row r="1" customFormat="false" ht="15" hidden="false" customHeight="false" outlineLevel="0" collapsed="false">
      <c r="A1" s="16" t="s">
        <v>501</v>
      </c>
      <c r="B1" s="16" t="s">
        <v>502</v>
      </c>
      <c r="C1" s="16" t="s">
        <v>460</v>
      </c>
      <c r="D1" s="16" t="s">
        <v>503</v>
      </c>
      <c r="E1" s="16" t="s">
        <v>504</v>
      </c>
    </row>
    <row r="2" customFormat="false" ht="31.5" hidden="false" customHeight="true" outlineLevel="0" collapsed="false">
      <c r="A2" s="14" t="s">
        <v>505</v>
      </c>
      <c r="B2" s="14" t="s">
        <v>506</v>
      </c>
      <c r="C2" s="14" t="s">
        <v>507</v>
      </c>
      <c r="D2" s="14" t="s">
        <v>101</v>
      </c>
      <c r="E2" s="14" t="s">
        <v>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2026-10-14T20:53:40Z</dcterms:created>
  <dc:creator>openpyxl</dc:creator>
  <dc:description/>
  <dc:language>en-US</dc:language>
  <cp:lastModifiedBy/>
  <dcterms:modified xsi:type="dcterms:W3CDTF">2026-10-14T20:53:40Z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