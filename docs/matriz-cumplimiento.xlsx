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1.24. Base: requisitos.md v1.26 · app 0.6.1 · roadmap 3.24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v1.24</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t>
        </is>
      </c>
      <c r="K12" s="5" t="inlineStr">
        <is>
          <t>0.1.0</t>
        </is>
      </c>
      <c r="L12" s="5" t="inlineStr">
        <is>
          <t>Banco (node --test) en dos pasadas: banco.test.js y escalas.test.js contra la app de varios archivos y contra el autónomo (autonomo.test.js), que además lee de dentro sus 17 grabaciones (huellas sha256) sin descargar nada; una sola vez, lo que lee el repositorio o compara las formas · el autónomo es exactamente la app ensamblada más su audio · comprobar-autonomo (Chromium, file:// y sin conexión: 0,15 s, ninguna conexión, error con módulo y línea exactos) · comprobar-en-navegador · CHANGELOG 0.6.0 · IT-04 · AR-13 y AT-12</t>
        </is>
      </c>
      <c r="M12" s="5" t="inlineStr">
        <is>
          <t>Verificado</t>
        </is>
      </c>
      <c r="N12" s="5" t="inlineStr">
        <is>
          <t>Banco automático + auditor técnico</t>
        </is>
      </c>
      <c r="O12" s="5" t="inlineStr">
        <is>
          <t>Desde la 0.2.1 hay dos formas reales: index.html para servir (Live Server y web) y dist/trasteando.html, generado a partir de él con herramientas/generar-autonomo.py. Desde la 0.4.0 (F4.1), la app vive en varios archivos (css/ y js/, uno por tema), y el generador los une con herramientas/ensamblar.js; el banco comprueba que el resultado es exactamente la app más su audio. Hecho en la 0.6.0 (F6.1) y validado por el banco: las pruebas que arrancan la app (banco.test.js y escalas.test.js) se pasan dos veces, contra la app de varios archivos (la que sirve la web) y contra el autónomo (tests/autonomo.test.js); solo van una vez las que leen el repositorio o comparan las dos formas, y las del detector de tono, que no usan la página. El autónomo lee de dentro sus 17 grabaciones, las generadas, sin descargar nada; cada módulo incrustado lleva su nombre (//# sourceURL), y un error dice el módulo y la línea exactos; el ensamblador se niega a incrustar uno que rompería la página. En Chromium, abierto desde el disco y sin conexión, abre en 0,15 s sin ningún intento de conexión. Instalarla como PWA es G-04 (F6.3). Pendiente (AR-13): se reconfirma contra la web publicada en F7.1, como G-03 (#2), y en la Sesión 2 se abre el autónomo con doble clic en Windows, en modo avión (#3).</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24 mayores y menores con siete letras, sin mezclar ♯ y ♭ ni dobles alteraciones, y 16 de ellas nota a nota frente al libro; pentatónicas dentro de su escala; casillas por clase de altura</t>
        </is>
      </c>
      <c r="M64" s="5" t="inlineStr">
        <is>
          <t>Verificado parcialmente</t>
        </is>
      </c>
      <c r="N64" s="5" t="inlineStr">
        <is>
          <t>Banco automático + auditor técnico</t>
        </is>
      </c>
      <c r="O64" s="5" t="inlineStr">
        <is>
          <t>Alcance acotado. Las demás afinaciones pasan a E-02b. Hecho en la 0.5.0 (banco tests/escalas.test.js): las 24 mayores y menores con siete letras distintas, sin mezclar ♯ y ♭ ni dobles alteraciones, y 16 de ellas comparadas nota a nota con el libro; las pentatónicas, dentro de su escala. Verificado parcialmente hasta tener la tabla de referencia completa (CP-5, AR-12 #4 y ronda 2).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t>
        </is>
      </c>
      <c r="P83" s="6" t="n"/>
      <c r="Q83" s="5" t="inlineStr"/>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Ronda 2 de AT-11: tras Siri, si el audio sigue en pausa, «Vuelve a pulsar» se repite sin rehacer el audio (medio); durante la espera el botón no cambia (bajo); Empezar, Parar y Empezar en menos de 400 ms puede anular el tercero (bajo). Decisión tuya pendiente: mantener la pantalla encendida mientras suena (AR-12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row>
    <row r="88" ht="120" customHeight="1">
      <c r="A88" s="4" t="inlineStr">
        <is>
          <t>MT-06</t>
        </is>
      </c>
      <c r="B88" s="5" t="inlineStr">
        <is>
          <t>Metrónomo</t>
        </is>
      </c>
      <c r="C88" s="5" t="inlineStr">
        <is>
          <t>La barra del tempo es un péndulo, como la de un metrónomo mecánico: la pesa marca el tempo, arriba más lento y abajo más rápido; mientras suena, la barra oscila sobre su pie y llega a un extremo en cada pulso, alternando los lados, hasta 30° a cada lado sin salirse de la pantalla. Se queda recta parada, mientras se arrastra y con «reducir movimiento».</t>
        </is>
      </c>
      <c r="D88" s="5" t="inlineStr">
        <is>
          <t>Baja</t>
        </is>
      </c>
      <c r="E88" s="5" t="inlineStr">
        <is>
          <t>Cliente · 22/10 (F5.8 #1)</t>
        </is>
      </c>
      <c r="F88" s="5" t="inlineStr">
        <is>
          <t>F5</t>
        </is>
      </c>
      <c r="G88" s="5" t="inlineStr">
        <is>
          <t>F5.8</t>
        </is>
      </c>
      <c r="H88" s="5" t="inlineStr">
        <is>
          <t>D</t>
        </is>
      </c>
      <c r="I88" s="5" t="inlineStr">
        <is>
          <t>Pesa arriba, 30 ppm, y abajo, 250. Sonando, la barra llega a un extremo en cada pulso, alternando los lados (hasta 30° a cada lado, sin salirse de la pantalla en ninguna disposición), y pasa por el centro entre dos; la subdivisión no la mueve. Recta parada, al arrastrarla y con «reducir movimiento».</t>
        </is>
      </c>
      <c r="J88" s="5" t="inlineStr">
        <is>
          <t>Cumple</t>
        </is>
      </c>
      <c r="K88" s="5" t="inlineStr">
        <is>
          <t>0.6.1</t>
        </is>
      </c>
      <c r="L88" s="5" t="inlineStr">
        <is>
          <t>Banco (node --test): extremos alternos en cada pulso, centro a medio camino, la subdivisión no cuenta, recta al arrastrar, al parar y con «reducir movimiento», pesa arriba = 30 ppm, amplitud que cabe; las tres pruebas fallan con la 0.6.0 · Chromium: ±30° en iPhone vertical y ordenador, ±12,7° en horizontal, nunca fuera de la pantalla · comprobar-disposicion: ocho pantallas del metrónomo</t>
        </is>
      </c>
      <c r="M88" s="5" t="inlineStr">
        <is>
          <t>Verificado parcialmente</t>
        </is>
      </c>
      <c r="N88" s="5" t="inlineStr">
        <is>
          <t>Cliente</t>
        </is>
      </c>
      <c r="O88" s="5" t="inlineStr">
        <is>
          <t>Tu comentario de uso del 22/10 (F5.8 #1) y tu decisión del mismo día: la pesa arriba va más lenta, como en uno mecánico (antes, arriba era más rápido). El ángulo sale del reloj de audio, el mismo de los golpes, así que va con el sonido aunque el navegador vaya a tirones; sigue un coseno, como un péndulo: rápido en el centro y lento en los extremos. La subdivisión no lo mueve: solo los pulsos. Se abre menos si no cabe: en el iPhone en horizontal, unos 13°. Recto con «reducir movimiento» (G-05). Las flechas del teclado siguen la norma de los deslizadores (↑, más rápido). Hecho en la 0.6.1 y comprobado con el banco y en Chromium; verificado parcialmente hasta que lo pruebes tú (Sesión 2).</t>
        </is>
      </c>
      <c r="P88" s="6" t="n"/>
      <c r="Q88" s="5" t="inlineStr">
        <is>
          <t>Nuevo</t>
        </is>
      </c>
    </row>
    <row r="89" ht="120" customHeight="1">
      <c r="A89" s="4" t="inlineStr">
        <is>
          <t>AC-01</t>
        </is>
      </c>
      <c r="B89" s="5" t="inlineStr">
        <is>
          <t>Acordes</t>
        </is>
      </c>
      <c r="C89" s="5" t="inlineStr">
        <is>
          <t>Librería de acordes, un área propia: a un lado, el listado de nombres, con una sección de populares arriba y debajo los 30 acordes más habituales; al otro, el acorde dibujado en el mástil.</t>
        </is>
      </c>
      <c r="D89" s="5" t="inlineStr">
        <is>
          <t>Media</t>
        </is>
      </c>
      <c r="E89" s="5" t="inlineStr">
        <is>
          <t>Cliente · 21/10</t>
        </is>
      </c>
      <c r="F89" s="5" t="inlineStr">
        <is>
          <t>F5</t>
        </is>
      </c>
      <c r="G89" s="5" t="inlineStr">
        <is>
          <t>F5.7</t>
        </is>
      </c>
      <c r="H89" s="5" t="inlineStr">
        <is>
          <t>T</t>
        </is>
      </c>
      <c r="I89"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9" s="5" t="inlineStr">
        <is>
          <t>Cumple</t>
        </is>
      </c>
      <c r="K89" s="5" t="inlineStr">
        <is>
          <t>0.5.5</t>
        </is>
      </c>
      <c r="L89" s="5" t="inlineStr">
        <is>
          <t>Banco (node --test): las 30 digitaciones, una a una; populares y listado · comprobar-disposicion: listado y mástil a la vez en seis pantallas</t>
        </is>
      </c>
      <c r="M89" s="5" t="inlineStr">
        <is>
          <t>Verificado</t>
        </is>
      </c>
      <c r="N89" s="5" t="inlineStr">
        <is>
          <t>Banco automático + auditor técnico</t>
        </is>
      </c>
      <c r="O89"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9" s="6" t="n"/>
      <c r="Q89" s="5" t="inlineStr"/>
    </row>
    <row r="90" ht="120" customHeight="1">
      <c r="A90" s="4" t="inlineStr">
        <is>
          <t>AC-02</t>
        </is>
      </c>
      <c r="B90" s="5" t="inlineStr">
        <is>
          <t>Acordes</t>
        </is>
      </c>
      <c r="C90"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90" s="5" t="inlineStr">
        <is>
          <t>Media</t>
        </is>
      </c>
      <c r="E90" s="5" t="inlineStr">
        <is>
          <t>Cliente · 21/10</t>
        </is>
      </c>
      <c r="F90" s="5" t="inlineStr">
        <is>
          <t>F5</t>
        </is>
      </c>
      <c r="G90" s="5" t="inlineStr">
        <is>
          <t>F5.7</t>
        </is>
      </c>
      <c r="H90" s="5" t="inlineStr">
        <is>
          <t>D</t>
        </is>
      </c>
      <c r="I90" s="5" t="inlineStr">
        <is>
          <t>Cada dedo tiene su número y su color, iguales en todos los acordes (Okabe-Ito); círculo ≥ 3:1 contra el mástil y número ≥ 4,5:1 contra el círculo; ○ y ✕ junto al nombre de la cuerda; cejilla como barra; el lector de pantalla dice el dedo.</t>
        </is>
      </c>
      <c r="J90" s="5" t="inlineStr">
        <is>
          <t>Cumple</t>
        </is>
      </c>
      <c r="K90" s="5" t="inlineStr">
        <is>
          <t>0.5.5</t>
        </is>
      </c>
      <c r="L90" s="5" t="inlineStr">
        <is>
          <t>Banco (node --test): La menor y Fa dibujados, contraste de los cuatro colores · comprobar-accesibilidad: Acordes con Fa</t>
        </is>
      </c>
      <c r="M90" s="5" t="inlineStr">
        <is>
          <t>Verificado parcialmente</t>
        </is>
      </c>
      <c r="N90" s="5" t="inlineStr">
        <is>
          <t>Cliente</t>
        </is>
      </c>
      <c r="O90"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90" s="6" t="n"/>
      <c r="Q90" s="5" t="inlineStr"/>
    </row>
    <row r="91" ht="120" customHeight="1">
      <c r="A91" s="4" t="inlineStr">
        <is>
          <t>AC-03</t>
        </is>
      </c>
      <c r="B91" s="5" t="inlineStr">
        <is>
          <t>Acordes</t>
        </is>
      </c>
      <c r="C91" s="5" t="inlineStr">
        <is>
          <t>El pentagrama escribe el acorde con sus notas apiladas, escritas como manda el acorde (B7: Re♯); se oculta con el ajuste de pentagrama de siempre.</t>
        </is>
      </c>
      <c r="D91" s="5" t="inlineStr">
        <is>
          <t>Baja</t>
        </is>
      </c>
      <c r="E91" s="5" t="inlineStr">
        <is>
          <t>Cliente · 21/10</t>
        </is>
      </c>
      <c r="F91" s="5" t="inlineStr">
        <is>
          <t>F5</t>
        </is>
      </c>
      <c r="G91" s="5" t="inlineStr">
        <is>
          <t>F5.7</t>
        </is>
      </c>
      <c r="H91" s="5" t="inlineStr">
        <is>
          <t>D</t>
        </is>
      </c>
      <c r="I91" s="5" t="inlineStr">
        <is>
          <t>El pentagrama escribe las notas del acorde apiladas, escritas como manda el acorde, y se oculta con su ajuste; en el móvil en vertical se aparta y vuelve al girarlo.</t>
        </is>
      </c>
      <c r="J91" s="5" t="inlineStr">
        <is>
          <t>Cumple</t>
        </is>
      </c>
      <c r="K91" s="5" t="inlineStr">
        <is>
          <t>0.5.5</t>
        </is>
      </c>
      <c r="L91" s="5" t="inlineStr">
        <is>
          <t>Banco (node --test): cinco notas de La menor; B7 con Re♯ · el ajuste de pentagrama de siempre (F1.1) · comprobar-disposicion: seis pantallas</t>
        </is>
      </c>
      <c r="M91" s="5" t="inlineStr">
        <is>
          <t>Verificado parcialmente</t>
        </is>
      </c>
      <c r="N91" s="5" t="inlineStr">
        <is>
          <t>Cliente</t>
        </is>
      </c>
      <c r="O91"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1" s="6" t="n"/>
      <c r="Q91" s="5" t="inlineStr"/>
    </row>
    <row r="92" ht="48" customHeight="1">
      <c r="A92" s="4" t="inlineStr">
        <is>
          <t>AC-04</t>
        </is>
      </c>
      <c r="B92" s="5" t="inlineStr">
        <is>
          <t>Acordes</t>
        </is>
      </c>
      <c r="C92" s="5" t="inlineStr">
        <is>
          <t>El acorde suena rasgueado, de grave a agudo, al elegirlo y con «Tocar»; cada cuerda se puede tocar suelta.</t>
        </is>
      </c>
      <c r="D92" s="5" t="inlineStr">
        <is>
          <t>Media</t>
        </is>
      </c>
      <c r="E92" s="5" t="inlineStr">
        <is>
          <t>Cliente · 21/10</t>
        </is>
      </c>
      <c r="F92" s="5" t="inlineStr">
        <is>
          <t>F5</t>
        </is>
      </c>
      <c r="G92" s="5" t="inlineStr">
        <is>
          <t>F5.7</t>
        </is>
      </c>
      <c r="H92" s="5" t="inlineStr">
        <is>
          <t>T</t>
        </is>
      </c>
      <c r="I92" s="5" t="inlineStr">
        <is>
          <t>El acorde suena rasgueado de grave a agudo al elegirlo y con «Tocar»; cada cuerda se puede tocar suelta.</t>
        </is>
      </c>
      <c r="J92" s="5" t="inlineStr">
        <is>
          <t>Cumple</t>
        </is>
      </c>
      <c r="K92" s="5" t="inlineStr">
        <is>
          <t>0.5.5</t>
        </is>
      </c>
      <c r="L92" s="5" t="inlineStr">
        <is>
          <t>Banco (node --test): orden del rasgueo · cada casilla suena suelta como en todo el mástil (F1.1 #2)</t>
        </is>
      </c>
      <c r="M92" s="5" t="inlineStr">
        <is>
          <t>Verificado</t>
        </is>
      </c>
      <c r="N92" s="5" t="inlineStr">
        <is>
          <t>Banco automático + auditor técnico</t>
        </is>
      </c>
      <c r="O92" s="5" t="inlineStr">
        <is>
          <t>35 ms entre cuerda y cuerda. Hecho en la 0.5.5 y validado por el banco; falta que lo compares con tu guitarra (Sesión 2).</t>
        </is>
      </c>
      <c r="P92" s="6" t="n"/>
      <c r="Q92" s="5" t="inlineStr"/>
    </row>
    <row r="93" ht="63" customHeight="1">
      <c r="A93" s="4" t="inlineStr">
        <is>
          <t>AC-05</t>
        </is>
      </c>
      <c r="B93" s="5" t="inlineStr">
        <is>
          <t>Acordes</t>
        </is>
      </c>
      <c r="C93" s="5" t="inlineStr">
        <is>
          <t>Las digitaciones son para la afinación estándar en la primera entrega: con otra afinación activa, Acordes lo avisa, no las dibuja y ofrece pasar a la estándar.</t>
        </is>
      </c>
      <c r="D93" s="5" t="inlineStr">
        <is>
          <t>Media</t>
        </is>
      </c>
      <c r="E93" s="5" t="inlineStr">
        <is>
          <t>Cliente · 21/10</t>
        </is>
      </c>
      <c r="F93" s="5" t="inlineStr">
        <is>
          <t>F5</t>
        </is>
      </c>
      <c r="G93" s="5" t="inlineStr">
        <is>
          <t>F5.7</t>
        </is>
      </c>
      <c r="H93" s="5" t="inlineStr">
        <is>
          <t>T</t>
        </is>
      </c>
      <c r="I93" s="5" t="inlineStr">
        <is>
          <t>Con otra afinación, Acordes avisa, no dibuja las digitaciones y «Pasar a estándar» las recupera.</t>
        </is>
      </c>
      <c r="J93" s="5" t="inlineStr">
        <is>
          <t>Cumple</t>
        </is>
      </c>
      <c r="K93" s="5" t="inlineStr">
        <is>
          <t>0.5.5</t>
        </is>
      </c>
      <c r="L93" s="5" t="inlineStr">
        <is>
          <t>Banco (node --test): Drop D y vuelta a la estándar</t>
        </is>
      </c>
      <c r="M93" s="5" t="inlineStr">
        <is>
          <t>Verificado</t>
        </is>
      </c>
      <c r="N93" s="5" t="inlineStr">
        <is>
          <t>Banco automático + auditor técnico</t>
        </is>
      </c>
      <c r="O93" s="5" t="inlineStr">
        <is>
          <t>Las digitaciones dependen de la afinación; las demás, para después. Hecho en la 0.5.5 y validado por el banco; falta que lo compares con tu guitarra (Sesión 2).</t>
        </is>
      </c>
      <c r="P93" s="6" t="n"/>
      <c r="Q93" s="5" t="inlineStr"/>
    </row>
    <row r="94" ht="78" customHeight="1">
      <c r="A94" s="4" t="inlineStr">
        <is>
          <t>AC-06</t>
        </is>
      </c>
      <c r="B94" s="5" t="inlineStr">
        <is>
          <t>Acordes</t>
        </is>
      </c>
      <c r="C94" s="5" t="inlineStr">
        <is>
          <t>Un buscador filtra el listado por cómo empieza el nombre: «G» deja G, Gm, G7, G/B…; vale en las dos nomenclaturas («Sol» encuentra lo mismo) y sin distinguir mayúsculas.</t>
        </is>
      </c>
      <c r="D94" s="5" t="inlineStr">
        <is>
          <t>Media</t>
        </is>
      </c>
      <c r="E94" s="5" t="inlineStr">
        <is>
          <t>Cliente · 21/10</t>
        </is>
      </c>
      <c r="F94" s="5" t="inlineStr">
        <is>
          <t>F5</t>
        </is>
      </c>
      <c r="G94" s="5" t="inlineStr">
        <is>
          <t>F5.7</t>
        </is>
      </c>
      <c r="H94" s="5" t="inlineStr">
        <is>
          <t>T</t>
        </is>
      </c>
      <c r="I94" s="5" t="inlineStr">
        <is>
          <t>El buscador deja los acordes que empiezan por lo escrito, sin distinguir mayúsculas y en las dos nomenclaturas; una letra sola, solo en la inglesa.</t>
        </is>
      </c>
      <c r="J94" s="5" t="inlineStr">
        <is>
          <t>Cumple</t>
        </is>
      </c>
      <c r="K94" s="5" t="inlineStr">
        <is>
          <t>0.5.5</t>
        </is>
      </c>
      <c r="L94" s="5" t="inlineStr">
        <is>
          <t>Banco (node --test): G, g, Sol, D, Am, f# y vacío</t>
        </is>
      </c>
      <c r="M94" s="5" t="inlineStr">
        <is>
          <t>Verificado</t>
        </is>
      </c>
      <c r="N94" s="5" t="inlineStr">
        <is>
          <t>Banco automático + auditor técnico</t>
        </is>
      </c>
      <c r="O94" s="5" t="inlineStr">
        <is>
          <t>Tu petición del 21/10. Una sola letra solo se busca en la nomenclatura inglesa, para que «D» no traiga también los Do; # y b valen por ♯ y ♭. Hecho en la 0.5.5 y validado por el banco.</t>
        </is>
      </c>
      <c r="P94" s="6" t="n"/>
      <c r="Q94" s="5" t="inlineStr"/>
    </row>
    <row r="95" ht="120" customHeight="1">
      <c r="A95" s="4" t="inlineStr">
        <is>
          <t>V-01</t>
        </is>
      </c>
      <c r="B95" s="5" t="inlineStr">
        <is>
          <t>Visualización</t>
        </is>
      </c>
      <c r="C95" s="5" t="inlineStr">
        <is>
          <t>En móvil se sugiere la orientación horizontal con un aviso discreto; no se fuerza.</t>
        </is>
      </c>
      <c r="D95" s="5" t="inlineStr">
        <is>
          <t>Alta</t>
        </is>
      </c>
      <c r="E95" s="5" t="inlineStr">
        <is>
          <t>Cliente · 20/10 (interfaz.md v1.0)</t>
        </is>
      </c>
      <c r="F95" s="5" t="inlineStr">
        <is>
          <t>F3</t>
        </is>
      </c>
      <c r="G95" s="5" t="inlineStr">
        <is>
          <t>F3.2</t>
        </is>
      </c>
      <c r="H95" s="5" t="inlineStr">
        <is>
          <t>D</t>
        </is>
      </c>
      <c r="I95"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5" s="5" t="inlineStr">
        <is>
          <t>Cumple</t>
        </is>
      </c>
      <c r="K95" s="5" t="inlineStr">
        <is>
          <t>0.3.0</t>
        </is>
      </c>
      <c r="L95" s="5" t="inlineStr">
        <is>
          <t>V-06: comprobar-disposicion.js en 14 pantallas: 52,8 / 60,8 / 42,5 px · Banco (node --test): aviso para girar · Sesión 1: C02, C03 y D03</t>
        </is>
      </c>
      <c r="M95" s="5" t="inlineStr">
        <is>
          <t>Verificado</t>
        </is>
      </c>
      <c r="N95" s="5" t="inlineStr">
        <is>
          <t>Cliente</t>
        </is>
      </c>
      <c r="O95"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5" s="6" t="n"/>
      <c r="Q95" s="5" t="inlineStr"/>
    </row>
    <row r="96" ht="33" customHeight="1">
      <c r="A96" s="4" t="inlineStr">
        <is>
          <t>V-02</t>
        </is>
      </c>
      <c r="B96" s="5" t="inlineStr">
        <is>
          <t>Visualización</t>
        </is>
      </c>
      <c r="C96" s="5" t="inlineStr">
        <is>
          <t>El afinador funciona en vertical y en horizontal.</t>
        </is>
      </c>
      <c r="D96" s="5" t="inlineStr">
        <is>
          <t>Alta</t>
        </is>
      </c>
      <c r="E96" s="5" t="inlineStr">
        <is>
          <t>Cliente · listado 14/09</t>
        </is>
      </c>
      <c r="F96" s="5" t="inlineStr">
        <is>
          <t>F1</t>
        </is>
      </c>
      <c r="G96" s="5" t="inlineStr">
        <is>
          <t>F1.1</t>
        </is>
      </c>
      <c r="H96" s="5" t="inlineStr">
        <is>
          <t>D</t>
        </is>
      </c>
      <c r="I96" s="5" t="inlineStr">
        <is>
          <t>El afinador se usa con comodidad en vertical y en horizontal.</t>
        </is>
      </c>
      <c r="J96" s="5" t="inlineStr">
        <is>
          <t>Cumple</t>
        </is>
      </c>
      <c r="K96" s="5" t="inlineStr">
        <is>
          <t>0.1.0</t>
        </is>
      </c>
      <c r="L96" s="5" t="inlineStr">
        <is>
          <t>F1.1 #14</t>
        </is>
      </c>
      <c r="M96" s="5" t="inlineStr">
        <is>
          <t>Pendiente</t>
        </is>
      </c>
      <c r="N96" s="5" t="inlineStr">
        <is>
          <t>Cliente</t>
        </is>
      </c>
      <c r="O96" s="5" t="inlineStr"/>
      <c r="P96" s="6" t="n"/>
      <c r="Q96" s="5" t="inlineStr"/>
    </row>
    <row r="97" ht="33" customHeight="1">
      <c r="A97" s="4" t="inlineStr">
        <is>
          <t>V-03</t>
        </is>
      </c>
      <c r="B97" s="5" t="inlineStr">
        <is>
          <t>Visualización</t>
        </is>
      </c>
      <c r="C97" s="5" t="inlineStr">
        <is>
          <t>En escritorio el mástil aprovecha el ancho disponible.</t>
        </is>
      </c>
      <c r="D97" s="5" t="inlineStr">
        <is>
          <t>Alta</t>
        </is>
      </c>
      <c r="E97" s="5" t="inlineStr">
        <is>
          <t>Cliente · listado 14/09</t>
        </is>
      </c>
      <c r="F97" s="5" t="inlineStr">
        <is>
          <t>F1</t>
        </is>
      </c>
      <c r="G97" s="5" t="inlineStr">
        <is>
          <t>F1.1</t>
        </is>
      </c>
      <c r="H97" s="5" t="inlineStr">
        <is>
          <t>D</t>
        </is>
      </c>
      <c r="I97" s="5" t="inlineStr">
        <is>
          <t>En una pantalla de 1280 px se ven los 24 trastes sin desplazarse.</t>
        </is>
      </c>
      <c r="J97" s="5" t="inlineStr">
        <is>
          <t>Cumple</t>
        </is>
      </c>
      <c r="K97" s="5" t="inlineStr">
        <is>
          <t>0.1.0</t>
        </is>
      </c>
      <c r="L97" s="5" t="inlineStr">
        <is>
          <t>F1.1 #14</t>
        </is>
      </c>
      <c r="M97" s="5" t="inlineStr">
        <is>
          <t>Pendiente</t>
        </is>
      </c>
      <c r="N97" s="5" t="inlineStr">
        <is>
          <t>Cliente</t>
        </is>
      </c>
      <c r="O97" s="5" t="inlineStr">
        <is>
          <t>Arranca mostrando el mástil completo en pantallas anchas.</t>
        </is>
      </c>
      <c r="P97" s="6" t="n"/>
      <c r="Q97" s="5" t="inlineStr"/>
    </row>
    <row r="98" ht="120" customHeight="1">
      <c r="A98" s="4" t="inlineStr">
        <is>
          <t>V-04</t>
        </is>
      </c>
      <c r="B98" s="5" t="inlineStr">
        <is>
          <t>Visualización</t>
        </is>
      </c>
      <c r="C98" s="5" t="inlineStr">
        <is>
          <t>Control de zoom que determina qué porción del mástil se ve.</t>
        </is>
      </c>
      <c r="D98" s="5" t="inlineStr">
        <is>
          <t>Alta</t>
        </is>
      </c>
      <c r="E98" s="5" t="inlineStr">
        <is>
          <t>Cliente · 20/10 (interfaz.md v1.0)</t>
        </is>
      </c>
      <c r="F98" s="5" t="inlineStr">
        <is>
          <t>F1 · F3</t>
        </is>
      </c>
      <c r="G98" s="5" t="inlineStr">
        <is>
          <t>F1.1 · F3.2</t>
        </is>
      </c>
      <c r="H98" s="5" t="inlineStr">
        <is>
          <t>D</t>
        </is>
      </c>
      <c r="I98"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8" s="5" t="inlineStr">
        <is>
          <t>Cumple</t>
        </is>
      </c>
      <c r="K98" s="5" t="inlineStr">
        <is>
          <t>0.1.0</t>
        </is>
      </c>
      <c r="L98" s="5" t="inlineStr">
        <is>
          <t>F1.1 #7 y #8 · V-06 · Banco (node --test): 40 px por defecto, 28 con «+», orden de los botones · Sesión 1: A07, A08 y C04</t>
        </is>
      </c>
      <c r="M98" s="5" t="inlineStr">
        <is>
          <t>Verificado</t>
        </is>
      </c>
      <c r="N98" s="5" t="inlineStr">
        <is>
          <t>Cliente</t>
        </is>
      </c>
      <c r="O98"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8" s="6" t="n"/>
      <c r="Q98" s="5" t="inlineStr"/>
    </row>
    <row r="99" ht="33" customHeight="1">
      <c r="A99" s="4" t="inlineStr">
        <is>
          <t>V-05</t>
        </is>
      </c>
      <c r="B99" s="5" t="inlineStr">
        <is>
          <t>Visualización</t>
        </is>
      </c>
      <c r="C99" s="5" t="inlineStr">
        <is>
          <t>Cuando el mástil no cabe, el usuario se desplaza lateralmente.</t>
        </is>
      </c>
      <c r="D99" s="5" t="inlineStr">
        <is>
          <t>Alta</t>
        </is>
      </c>
      <c r="E99" s="5" t="inlineStr">
        <is>
          <t>Cliente · listado 14/09</t>
        </is>
      </c>
      <c r="F99" s="5" t="inlineStr">
        <is>
          <t>F1</t>
        </is>
      </c>
      <c r="G99" s="5" t="inlineStr">
        <is>
          <t>F1.1</t>
        </is>
      </c>
      <c r="H99" s="5" t="inlineStr">
        <is>
          <t>D</t>
        </is>
      </c>
      <c r="I99" s="5" t="inlineStr">
        <is>
          <t>Con el mástil más ancho que la pantalla se puede desplazar hasta el traste 24.</t>
        </is>
      </c>
      <c r="J99" s="5" t="inlineStr">
        <is>
          <t>Cumple</t>
        </is>
      </c>
      <c r="K99" s="5" t="inlineStr">
        <is>
          <t>0.1.0 **Validado en la Sesión 1** (20/10, informe `V-08`): A08.</t>
        </is>
      </c>
      <c r="L99" s="5" t="inlineStr">
        <is>
          <t>F1.1 #14 · Sesión 1: A08</t>
        </is>
      </c>
      <c r="M99" s="5" t="inlineStr">
        <is>
          <t>Verificado</t>
        </is>
      </c>
      <c r="N99" s="5" t="inlineStr">
        <is>
          <t>Cliente</t>
        </is>
      </c>
      <c r="O99" s="5" t="inlineStr"/>
      <c r="P99" s="6" t="n"/>
      <c r="Q99" s="5" t="inlineStr"/>
    </row>
    <row r="100" ht="48" customHeight="1">
      <c r="A100" s="4" t="inlineStr">
        <is>
          <t>V-06</t>
        </is>
      </c>
      <c r="B100" s="5" t="inlineStr">
        <is>
          <t>Visualización</t>
        </is>
      </c>
      <c r="C100" s="5" t="inlineStr">
        <is>
          <t>El ancho de traste no cambia al desplazarse: el zoom fija el tamaño y el desplazamiento mueve la ventana.</t>
        </is>
      </c>
      <c r="D100" s="5" t="inlineStr">
        <is>
          <t>Alta</t>
        </is>
      </c>
      <c r="E100" s="5" t="inlineStr">
        <is>
          <t>Cliente · listado 14/09</t>
        </is>
      </c>
      <c r="F100" s="5" t="inlineStr">
        <is>
          <t>F1</t>
        </is>
      </c>
      <c r="G100" s="5" t="inlineStr">
        <is>
          <t>F1.1</t>
        </is>
      </c>
      <c r="H100" s="5" t="inlineStr">
        <is>
          <t>D</t>
        </is>
      </c>
      <c r="I100" s="5" t="inlineStr">
        <is>
          <t>Desplazarse no cambia el ancho de los trastes.</t>
        </is>
      </c>
      <c r="J100" s="5" t="inlineStr">
        <is>
          <t>Cumple</t>
        </is>
      </c>
      <c r="K100" s="5" t="inlineStr">
        <is>
          <t>0.1.0 **Validado en la Sesión 1** (20/10, informe `V-08`): A07.</t>
        </is>
      </c>
      <c r="L100" s="5" t="inlineStr">
        <is>
          <t>F1.1 #7 · Sesión 1: A07</t>
        </is>
      </c>
      <c r="M100" s="5" t="inlineStr">
        <is>
          <t>Verificado</t>
        </is>
      </c>
      <c r="N100" s="5" t="inlineStr">
        <is>
          <t>Cliente</t>
        </is>
      </c>
      <c r="O100" s="5" t="inlineStr"/>
      <c r="P100" s="6" t="n"/>
      <c r="Q100" s="5" t="inlineStr"/>
    </row>
    <row r="101" ht="33" customHeight="1">
      <c r="A101" s="4" t="inlineStr">
        <is>
          <t>V-07</t>
        </is>
      </c>
      <c r="B101" s="5" t="inlineStr">
        <is>
          <t>Visualización</t>
        </is>
      </c>
      <c r="C101" s="5" t="inlineStr">
        <is>
          <t>El mástil se readapta al redimensionar la ventana.</t>
        </is>
      </c>
      <c r="D101" s="5" t="inlineStr">
        <is>
          <t>Alta</t>
        </is>
      </c>
      <c r="E101" s="5" t="inlineStr">
        <is>
          <t>Cliente · listado 14/09</t>
        </is>
      </c>
      <c r="F101" s="5" t="inlineStr">
        <is>
          <t>F1</t>
        </is>
      </c>
      <c r="G101" s="5" t="inlineStr">
        <is>
          <t>F1.1</t>
        </is>
      </c>
      <c r="H101" s="5" t="inlineStr">
        <is>
          <t>D</t>
        </is>
      </c>
      <c r="I101" s="5" t="inlineStr">
        <is>
          <t>Al redimensionar la ventana el mástil se reajusta sin perder el tramo visible.</t>
        </is>
      </c>
      <c r="J101" s="5" t="inlineStr">
        <is>
          <t>Cumple</t>
        </is>
      </c>
      <c r="K101" s="5" t="inlineStr">
        <is>
          <t>0.1.0 **Validado en la Sesión 1** (20/10, informe `V-08`): A08.</t>
        </is>
      </c>
      <c r="L101" s="5" t="inlineStr">
        <is>
          <t>F1.1 #7 · Sesión 1: A08</t>
        </is>
      </c>
      <c r="M101" s="5" t="inlineStr">
        <is>
          <t>Verificado</t>
        </is>
      </c>
      <c r="N101" s="5" t="inlineStr">
        <is>
          <t>Cliente</t>
        </is>
      </c>
      <c r="O101" s="5" t="inlineStr"/>
      <c r="P101" s="6" t="n"/>
      <c r="Q101" s="5" t="inlineStr"/>
    </row>
    <row r="102" ht="33" customHeight="1">
      <c r="A102" s="4" t="inlineStr">
        <is>
          <t>V-08</t>
        </is>
      </c>
      <c r="B102" s="5" t="inlineStr">
        <is>
          <t>Visualización</t>
        </is>
      </c>
      <c r="C102" s="5" t="inlineStr">
        <is>
          <t>El nivel de zoom persiste entre sesiones.</t>
        </is>
      </c>
      <c r="D102" s="5" t="inlineStr">
        <is>
          <t>Baja</t>
        </is>
      </c>
      <c r="E102" s="5" t="inlineStr">
        <is>
          <t>Cliente · listado 14/09</t>
        </is>
      </c>
      <c r="F102" s="5" t="inlineStr">
        <is>
          <t>F1</t>
        </is>
      </c>
      <c r="G102" s="5" t="inlineStr">
        <is>
          <t>F1.1</t>
        </is>
      </c>
      <c r="H102" s="5" t="inlineStr">
        <is>
          <t>D</t>
        </is>
      </c>
      <c r="I102" s="5" t="inlineStr">
        <is>
          <t>El zoom se mantiene tras recargar y tras girar el móvil.</t>
        </is>
      </c>
      <c r="J102" s="5" t="inlineStr">
        <is>
          <t>Cumple</t>
        </is>
      </c>
      <c r="K102" s="5" t="inlineStr">
        <is>
          <t>0.1.0</t>
        </is>
      </c>
      <c r="L102" s="5" t="inlineStr">
        <is>
          <t>F1.1 #13</t>
        </is>
      </c>
      <c r="M102" s="5" t="inlineStr">
        <is>
          <t>Pendiente</t>
        </is>
      </c>
      <c r="N102" s="5" t="inlineStr">
        <is>
          <t>Cliente</t>
        </is>
      </c>
      <c r="O102" s="5" t="inlineStr">
        <is>
          <t>Desde 0.1.1 girar el móvil ya no pisa el zoom elegido.</t>
        </is>
      </c>
      <c r="P102" s="6" t="n"/>
      <c r="Q102" s="5" t="inlineStr"/>
    </row>
    <row r="103" ht="63" customHeight="1">
      <c r="A103" s="4" t="inlineStr">
        <is>
          <t>V-09</t>
        </is>
      </c>
      <c r="B103" s="5" t="inlineStr">
        <is>
          <t>Visualización</t>
        </is>
      </c>
      <c r="C103" s="5" t="inlineStr">
        <is>
          <t>Al ocultar la numeración se puede conservar una referencia de tramo: el modo «Guía» deja solo los números de los trastes con marca.</t>
        </is>
      </c>
      <c r="D103" s="5" t="inlineStr">
        <is>
          <t>Media</t>
        </is>
      </c>
      <c r="E103" s="5" t="inlineStr">
        <is>
          <t>AR-01</t>
        </is>
      </c>
      <c r="F103" s="5" t="inlineStr">
        <is>
          <t>F1</t>
        </is>
      </c>
      <c r="G103" s="5" t="inlineStr">
        <is>
          <t>F1.3</t>
        </is>
      </c>
      <c r="H103" s="5" t="inlineStr">
        <is>
          <t>T</t>
        </is>
      </c>
      <c r="I103" s="5" t="inlineStr">
        <is>
          <t>El modo Guía mantiene visibles solo los números de los trastes con marca.</t>
        </is>
      </c>
      <c r="J103" s="5" t="inlineStr">
        <is>
          <t>Cumple</t>
        </is>
      </c>
      <c r="K103" s="5" t="inlineStr">
        <is>
          <t>0.1.2</t>
        </is>
      </c>
      <c r="L103" s="5" t="inlineStr">
        <is>
          <t>Banco (node --test) · F1.1 #11 · Sesión 1: A11</t>
        </is>
      </c>
      <c r="M103" s="5" t="inlineStr">
        <is>
          <t>Verificado</t>
        </is>
      </c>
      <c r="N103" s="5" t="inlineStr">
        <is>
          <t>Banco automático + auditor técnico</t>
        </is>
      </c>
      <c r="O103" s="5" t="inlineStr">
        <is>
          <t>Sin números, los trastes 5 y 17 llevan la misma marca y se confunden. Se descartó el minimapa por desproporcionado. Validado en la Sesión 1 (20/10, informe V-08): A11.</t>
        </is>
      </c>
      <c r="P103" s="6" t="n"/>
      <c r="Q103" s="5" t="inlineStr"/>
    </row>
    <row r="104" ht="108" customHeight="1">
      <c r="A104" s="4" t="inlineStr">
        <is>
          <t>C-01</t>
        </is>
      </c>
      <c r="B104" s="5" t="inlineStr">
        <is>
          <t>Configuración y navegación</t>
        </is>
      </c>
      <c r="C104" s="5" t="inlineStr">
        <is>
          <t>Menú de configuración accesible desde cualquier pantalla.</t>
        </is>
      </c>
      <c r="D104" s="5" t="inlineStr">
        <is>
          <t>Alta</t>
        </is>
      </c>
      <c r="E104" s="5" t="inlineStr">
        <is>
          <t>Cliente · listado 14/09</t>
        </is>
      </c>
      <c r="F104" s="5" t="inlineStr">
        <is>
          <t>F1</t>
        </is>
      </c>
      <c r="G104" s="5" t="inlineStr">
        <is>
          <t>F1.1</t>
        </is>
      </c>
      <c r="H104" s="5" t="inlineStr">
        <is>
          <t>D</t>
        </is>
      </c>
      <c r="I104" s="5" t="inlineStr">
        <is>
          <t>El botón de Ajustes abre el panel desde cualquier pantalla y Escape lo cierra.</t>
        </is>
      </c>
      <c r="J104" s="5" t="inlineStr">
        <is>
          <t>Cumple</t>
        </is>
      </c>
      <c r="K104" s="5" t="inlineStr">
        <is>
          <t>0.1.0</t>
        </is>
      </c>
      <c r="L104" s="5" t="inlineStr">
        <is>
          <t>F1.1 #14 · Sesión 1: A19 y C05</t>
        </is>
      </c>
      <c r="M104" s="5" t="inlineStr">
        <is>
          <t>Verificado</t>
        </is>
      </c>
      <c r="N104" s="5" t="inlineStr">
        <is>
          <t>Cliente</t>
        </is>
      </c>
      <c r="O104"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4" s="6" t="n"/>
      <c r="Q104" s="5" t="inlineStr"/>
    </row>
    <row r="105" ht="120" customHeight="1">
      <c r="A105" s="4" t="inlineStr">
        <is>
          <t>C-02</t>
        </is>
      </c>
      <c r="B105" s="5" t="inlineStr">
        <is>
          <t>Configuración y navegación</t>
        </is>
      </c>
      <c r="C105" s="5" t="inlineStr">
        <is>
          <t>El menú contiene nomenclatura, pentagrama, timbre, numeración de trastes (tres modos), ver todas las notas, señalar iguales y afinación activa, y muestra la versión de la app.</t>
        </is>
      </c>
      <c r="D105" s="5" t="inlineStr">
        <is>
          <t>Alta</t>
        </is>
      </c>
      <c r="E105" s="5" t="inlineStr">
        <is>
          <t>Cliente · listado 14/09</t>
        </is>
      </c>
      <c r="F105" s="5" t="inlineStr">
        <is>
          <t>F1</t>
        </is>
      </c>
      <c r="G105" s="5" t="inlineStr">
        <is>
          <t>F1.1</t>
        </is>
      </c>
      <c r="H105" s="5" t="inlineStr">
        <is>
          <t>I</t>
        </is>
      </c>
      <c r="I105" s="5" t="inlineStr">
        <is>
          <t>El panel contiene todos los ajustes listados, el idioma (0.4.2) y la versión de la app.</t>
        </is>
      </c>
      <c r="J105" s="5" t="inlineStr">
        <is>
          <t>Cumple</t>
        </is>
      </c>
      <c r="K105" s="5" t="inlineStr">
        <is>
          <t>0.1.0</t>
        </is>
      </c>
      <c r="L105" s="5" t="inlineStr">
        <is>
          <t>F1.1 #12 · Banco (node --test): grupo Idioma</t>
        </is>
      </c>
      <c r="M105" s="5" t="inlineStr">
        <is>
          <t>Pendiente</t>
        </is>
      </c>
      <c r="N105" s="5" t="inlineStr">
        <is>
          <t>Auditor de requisitos</t>
        </is>
      </c>
      <c r="O105"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5" s="6" t="n"/>
      <c r="Q105" s="5" t="inlineStr"/>
    </row>
    <row r="106" ht="78" customHeight="1">
      <c r="A106" s="4" t="inlineStr">
        <is>
          <t>C-03</t>
        </is>
      </c>
      <c r="B106" s="5" t="inlineStr">
        <is>
          <t>Configuración y navegación</t>
        </is>
      </c>
      <c r="C106" s="5" t="inlineStr">
        <is>
          <t>Los ajustes frecuentes tienen acceso rápido sin abrir el menú.</t>
        </is>
      </c>
      <c r="D106" s="5" t="inlineStr">
        <is>
          <t>Alta</t>
        </is>
      </c>
      <c r="E106" s="5" t="inlineStr">
        <is>
          <t>Cliente · listado 14/09</t>
        </is>
      </c>
      <c r="F106" s="5" t="inlineStr">
        <is>
          <t>F1</t>
        </is>
      </c>
      <c r="G106" s="5" t="inlineStr">
        <is>
          <t>F1.1</t>
        </is>
      </c>
      <c r="H106" s="5" t="inlineStr">
        <is>
          <t>D</t>
        </is>
      </c>
      <c r="I106" s="5" t="inlineStr">
        <is>
          <t>Nomenclatura, pentagrama y pistas tienen chips de acceso rápido.</t>
        </is>
      </c>
      <c r="J106" s="5" t="inlineStr">
        <is>
          <t>Cumple</t>
        </is>
      </c>
      <c r="K106" s="5" t="inlineStr">
        <is>
          <t>0.1.0</t>
        </is>
      </c>
      <c r="L106" s="5" t="inlineStr">
        <is>
          <t>F1.1 #14</t>
        </is>
      </c>
      <c r="M106" s="5" t="inlineStr">
        <is>
          <t>Pendiente</t>
        </is>
      </c>
      <c r="N106" s="5" t="inlineStr">
        <is>
          <t>Cliente</t>
        </is>
      </c>
      <c r="O106" s="5" t="inlineStr">
        <is>
          <t>Nomenclatura y pentagrama en chips bajo la cabecera, o en el panel en horizontal, donde el pentagrama se rotula con la clave de sol; las dos pistas del juego, en la tarjeta del reto (0.3.0).</t>
        </is>
      </c>
      <c r="P106" s="6" t="n"/>
      <c r="Q106" s="5" t="inlineStr"/>
    </row>
    <row r="107" ht="120" customHeight="1">
      <c r="A107" s="4" t="inlineStr">
        <is>
          <t>C-04</t>
        </is>
      </c>
      <c r="B107" s="5" t="inlineStr">
        <is>
          <t>Configuración y navegación</t>
        </is>
      </c>
      <c r="C107" s="5" t="inlineStr">
        <is>
          <t>Navegación principal clara entre las áreas de la app.</t>
        </is>
      </c>
      <c r="D107" s="5" t="inlineStr">
        <is>
          <t>Alta</t>
        </is>
      </c>
      <c r="E107" s="5" t="inlineStr">
        <is>
          <t>Cliente · 20/10 (interfaz.md v1.0)</t>
        </is>
      </c>
      <c r="F107" s="5" t="inlineStr">
        <is>
          <t>F1</t>
        </is>
      </c>
      <c r="G107" s="5" t="inlineStr">
        <is>
          <t>F1.1</t>
        </is>
      </c>
      <c r="H107" s="5" t="inlineStr">
        <is>
          <t>D</t>
        </is>
      </c>
      <c r="I107" s="5" t="inlineStr">
        <is>
          <t>La navegación (barra inferior, raíl o pestañas en la cabecera, según la disposición) lleva a cada área con un toque.</t>
        </is>
      </c>
      <c r="J107" s="5" t="inlineStr">
        <is>
          <t>Cumple</t>
        </is>
      </c>
      <c r="K107" s="5" t="inlineStr">
        <is>
          <t>0.1.0</t>
        </is>
      </c>
      <c r="L107" s="5" t="inlineStr">
        <is>
          <t>F1.1 #14 · 0.5.5: comprobar-disposicion, seis pestañas sin salirse ni pisar el nombre · Sesión 1: A19</t>
        </is>
      </c>
      <c r="M107" s="5" t="inlineStr">
        <is>
          <t>Verificado</t>
        </is>
      </c>
      <c r="N107" s="5" t="inlineStr">
        <is>
          <t>Cliente</t>
        </is>
      </c>
      <c r="O107"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7" s="6" t="n"/>
      <c r="Q107" s="5" t="inlineStr"/>
    </row>
    <row r="108" ht="48" customHeight="1">
      <c r="A108" s="4" t="inlineStr">
        <is>
          <t>C-05</t>
        </is>
      </c>
      <c r="B108" s="5" t="inlineStr">
        <is>
          <t>Configuración y navegación</t>
        </is>
      </c>
      <c r="C108" s="5" t="inlineStr">
        <is>
          <t>Todos los ajustes persisten entre sesiones.</t>
        </is>
      </c>
      <c r="D108" s="5" t="inlineStr">
        <is>
          <t>Media</t>
        </is>
      </c>
      <c r="E108" s="5" t="inlineStr">
        <is>
          <t>Cliente · listado 14/09</t>
        </is>
      </c>
      <c r="F108" s="5" t="inlineStr">
        <is>
          <t>F1</t>
        </is>
      </c>
      <c r="G108" s="5" t="inlineStr">
        <is>
          <t>F1.1</t>
        </is>
      </c>
      <c r="H108" s="5" t="inlineStr">
        <is>
          <t>T</t>
        </is>
      </c>
      <c r="I108" s="5" t="inlineStr">
        <is>
          <t>Todos los ajustes persisten tras recargar, y unos ajustes corruptos o antiguos no rompen la app.</t>
        </is>
      </c>
      <c r="J108" s="5" t="inlineStr">
        <is>
          <t>Cumple</t>
        </is>
      </c>
      <c r="K108" s="5" t="inlineStr">
        <is>
          <t>0.1.0</t>
        </is>
      </c>
      <c r="L108" s="5" t="inlineStr">
        <is>
          <t>Banco (node --test): migración · F1.1 #13 · Sesión 1: A14 y A15</t>
        </is>
      </c>
      <c r="M108" s="5" t="inlineStr">
        <is>
          <t>Verificado</t>
        </is>
      </c>
      <c r="N108" s="5" t="inlineStr">
        <is>
          <t>Banco automático + auditor técnico</t>
        </is>
      </c>
      <c r="O108" s="5" t="inlineStr">
        <is>
          <t>Un único objeto de estado, validado campo a campo al leerlo (0.1.1). Validado en la Sesión 1 (20/10, informe V-08): A14 y A15.</t>
        </is>
      </c>
      <c r="P108" s="6" t="n"/>
      <c r="Q108" s="5" t="inlineStr"/>
    </row>
    <row r="109" ht="93" customHeight="1">
      <c r="A109" s="4" t="inlineStr">
        <is>
          <t>C-06</t>
        </is>
      </c>
      <c r="B109" s="5" t="inlineStr">
        <is>
          <t>Configuración y navegación</t>
        </is>
      </c>
      <c r="C109" s="5" t="inlineStr">
        <is>
          <t>Especificación detallada de la interfaz: estructura de menús, jerarquía de controles y flujos de navegación.</t>
        </is>
      </c>
      <c r="D109" s="5" t="inlineStr">
        <is>
          <t>Alta</t>
        </is>
      </c>
      <c r="E109" s="5" t="inlineStr">
        <is>
          <t>Cliente · listado 14/09</t>
        </is>
      </c>
      <c r="F109" s="5" t="inlineStr">
        <is>
          <t>F3</t>
        </is>
      </c>
      <c r="G109" s="5" t="inlineStr">
        <is>
          <t>F3.1</t>
        </is>
      </c>
      <c r="H109" s="5" t="inlineStr">
        <is>
          <t>I</t>
        </is>
      </c>
      <c r="I109" s="5" t="inlineStr">
        <is>
          <t>interfaz.md aprobado por el cliente y revisado por el auditor de requisitos.</t>
        </is>
      </c>
      <c r="J109" s="5" t="inlineStr">
        <is>
          <t>Cumple</t>
        </is>
      </c>
      <c r="K109" s="5" t="inlineStr">
        <is>
          <t>0.2.3</t>
        </is>
      </c>
      <c r="L109" s="5" t="inlineStr">
        <is>
          <t>interfaz.md v1.0 · AR-04 · aprobación del cliente el 20/10</t>
        </is>
      </c>
      <c r="M109" s="5" t="inlineStr">
        <is>
          <t>Verificado</t>
        </is>
      </c>
      <c r="N109" s="5" t="inlineStr">
        <is>
          <t>Auditor de requisitos</t>
        </is>
      </c>
      <c r="O109" s="5" t="inlineStr">
        <is>
          <t>docs/interfaz.md v1.0, aprobada por ti el 20/10 tras la auditoría AR-04 (10 hallazgos resueltos). Bocetos al tamaño real de cada pantalla en docs/interfaz/, comprobados por herramientas/capturar-wireframes.js. Los cambios posteriores suben su versión.</t>
        </is>
      </c>
      <c r="P109" s="6" t="n"/>
      <c r="Q109" s="5" t="inlineStr"/>
    </row>
    <row r="110" ht="120" customHeight="1">
      <c r="A110" s="4" t="inlineStr">
        <is>
          <t>C-07</t>
        </is>
      </c>
      <c r="B110" s="5" t="inlineStr">
        <is>
          <t>Configuración y navegación</t>
        </is>
      </c>
      <c r="C110" s="5" t="inlineStr">
        <is>
          <t>Botón «atrás» del sistema: mientras haya un paso anterior en la sesión, el botón o gesto «atrás» cierra Ajustes o vuelve al área anterior; desde la primera área actúa el sistema. Al abrir la app se entra en Libre.</t>
        </is>
      </c>
      <c r="D110" s="5" t="inlineStr">
        <is>
          <t>Media</t>
        </is>
      </c>
      <c r="E110" s="5" t="inlineStr">
        <is>
          <t>Cliente · 20/10 (interfaz.md v1.0)</t>
        </is>
      </c>
      <c r="F110" s="5" t="inlineStr">
        <is>
          <t>F3</t>
        </is>
      </c>
      <c r="G110" s="5" t="inlineStr">
        <is>
          <t>F3.2</t>
        </is>
      </c>
      <c r="H110" s="5" t="inlineStr">
        <is>
          <t>D</t>
        </is>
      </c>
      <c r="I110" s="5" t="inlineStr">
        <is>
          <t>Con un paso anterior en la sesión, «atrás» cierra Ajustes o vuelve al área anterior; desde la primera área actúa el sistema; al abrir o recargar se entra en Libre. Prueba manual en Windows y en el simulador de Android de Chrome.</t>
        </is>
      </c>
      <c r="J110" s="5" t="inlineStr">
        <is>
          <t>Cumple</t>
        </is>
      </c>
      <c r="K110" s="5" t="inlineStr">
        <is>
          <t>0.3.0</t>
        </is>
      </c>
      <c r="L110" s="5" t="inlineStr">
        <is>
          <t>Banco (node --test): historial simulado con popstate (3 pruebas) · Sesión 1: A17</t>
        </is>
      </c>
      <c r="M110" s="5" t="inlineStr">
        <is>
          <t>Verificado</t>
        </is>
      </c>
      <c r="N110" s="5" t="inlineStr">
        <is>
          <t>Cliente</t>
        </is>
      </c>
      <c r="O110"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10" s="6" t="n"/>
      <c r="Q110" s="5" t="inlineStr"/>
    </row>
    <row r="111" ht="93" customHeight="1">
      <c r="A111" s="4" t="inlineStr">
        <is>
          <t>C-08</t>
        </is>
      </c>
      <c r="B111" s="5" t="inlineStr">
        <is>
          <t>Configuración y navegación</t>
        </is>
      </c>
      <c r="C111" s="5" t="inlineStr">
        <is>
          <t>Menú Personalización dentro de Ajustes: estilos de nota en el mástil (círculo de color o solo el nombre, más grande o en negrita), estilo del traste y del mástil, interior claro para «Ver todas las notas» y temas de color de la app.</t>
        </is>
      </c>
      <c r="D111" s="5" t="inlineStr">
        <is>
          <t>Media</t>
        </is>
      </c>
      <c r="E111" s="5" t="inlineStr">
        <is>
          <t>Cliente · listado 14/09</t>
        </is>
      </c>
      <c r="F111" s="5" t="inlineStr">
        <is>
          <t>Posterior</t>
        </is>
      </c>
      <c r="G111" s="5" t="inlineStr">
        <is>
          <t>Posterior</t>
        </is>
      </c>
      <c r="H111" s="5" t="inlineStr">
        <is>
          <t>N/A</t>
        </is>
      </c>
      <c r="I111" s="5" t="inlineStr">
        <is>
          <t>Fuera del alcance actual.</t>
        </is>
      </c>
      <c r="J111" s="5" t="inlineStr">
        <is>
          <t>No aplica</t>
        </is>
      </c>
      <c r="K111" s="5" t="inlineStr">
        <is>
          <t>—</t>
        </is>
      </c>
      <c r="L111" s="5" t="inlineStr">
        <is>
          <t>—</t>
        </is>
      </c>
      <c r="M111" s="5" t="inlineStr">
        <is>
          <t>No aplica</t>
        </is>
      </c>
      <c r="N111" s="5" t="inlineStr">
        <is>
          <t>—</t>
        </is>
      </c>
      <c r="O111" s="5" t="inlineStr">
        <is>
          <t>Tus comentarios de la Sesión 1 (A10, C06 y E06), para una actualización posterior. La paleta por nota de G-05 se mantiene como punto de partida.</t>
        </is>
      </c>
      <c r="P111" s="6" t="n"/>
      <c r="Q111" s="5" t="inlineStr"/>
    </row>
    <row r="112" ht="78" customHeight="1">
      <c r="A112" s="4" t="inlineStr">
        <is>
          <t>X-01</t>
        </is>
      </c>
      <c r="B112" s="5" t="inlineStr">
        <is>
          <t>Respaldo y publicación</t>
        </is>
      </c>
      <c r="C112" s="5" t="inlineStr">
        <is>
          <t>El código y la documentación están respaldados en el repositorio remoto (GitHub). Respaldar no es publicar.</t>
        </is>
      </c>
      <c r="D112" s="5" t="inlineStr">
        <is>
          <t>Alta</t>
        </is>
      </c>
      <c r="E112" s="5" t="inlineStr">
        <is>
          <t>Desarrollo · v1.1</t>
        </is>
      </c>
      <c r="F112" s="5" t="inlineStr">
        <is>
          <t>F1</t>
        </is>
      </c>
      <c r="G112" s="5" t="inlineStr">
        <is>
          <t>F1.2 · F1.4</t>
        </is>
      </c>
      <c r="H112" s="5" t="inlineStr">
        <is>
          <t>I</t>
        </is>
      </c>
      <c r="I112" s="5" t="inlineStr">
        <is>
          <t>GitHub muestra la última versión en main, entrada por pull request aprobado, y la etiqueta de cierre de fase.</t>
        </is>
      </c>
      <c r="J112" s="5" t="inlineStr">
        <is>
          <t>Cumple</t>
        </is>
      </c>
      <c r="K112" s="5" t="inlineStr">
        <is>
          <t>0.1.4</t>
        </is>
      </c>
      <c r="L112" s="5" t="inlineStr">
        <is>
          <t>PR #1 a #5 fusionados · etiqueta v0.1.5</t>
        </is>
      </c>
      <c r="M112" s="5" t="inlineStr">
        <is>
          <t>Verificado parcialmente</t>
        </is>
      </c>
      <c r="N112" s="5" t="inlineStr">
        <is>
          <t>Auditor de requisitos</t>
        </is>
      </c>
      <c r="O112" s="5" t="inlineStr">
        <is>
          <t>Desde el 15/10 todo el proyecto está en pdigue/guitarra; cada versión entra por pull request aprobado (del #1 al #5) y F1 se cerró con la etiqueta v0.1.5. El repositorio es público.</t>
        </is>
      </c>
      <c r="P112" s="6" t="n"/>
      <c r="Q112" s="5" t="inlineStr"/>
    </row>
    <row r="113" ht="120" customHeight="1">
      <c r="A113" s="4" t="inlineStr">
        <is>
          <t>X-02</t>
        </is>
      </c>
      <c r="B113" s="5" t="inlineStr">
        <is>
          <t>Respaldo y publicación</t>
        </is>
      </c>
      <c r="C113" s="5" t="inlineStr">
        <is>
          <t>La app está publicada en una URL pública (GitHub Pages).</t>
        </is>
      </c>
      <c r="D113" s="5" t="inlineStr">
        <is>
          <t>Alta</t>
        </is>
      </c>
      <c r="E113" s="5" t="inlineStr">
        <is>
          <t>Desarrollo · v1.1</t>
        </is>
      </c>
      <c r="F113" s="5" t="inlineStr">
        <is>
          <t>F7</t>
        </is>
      </c>
      <c r="G113" s="5" t="inlineStr">
        <is>
          <t>F7.1</t>
        </is>
      </c>
      <c r="H113" s="5" t="inlineStr">
        <is>
          <t>D</t>
        </is>
      </c>
      <c r="I113" s="5" t="inlineStr">
        <is>
          <t>La URL pública carga la app desde un dispositivo ajeno al proyecto.</t>
        </is>
      </c>
      <c r="J113" s="5" t="inlineStr">
        <is>
          <t>No cumple</t>
        </is>
      </c>
      <c r="K113" s="5" t="inlineStr">
        <is>
          <t>—</t>
        </is>
      </c>
      <c r="L113" s="5" t="inlineStr">
        <is>
          <t>—</t>
        </is>
      </c>
      <c r="M113" s="5" t="inlineStr">
        <is>
          <t>Pendiente</t>
        </is>
      </c>
      <c r="N113" s="5" t="inlineStr">
        <is>
          <t>Cliente</t>
        </is>
      </c>
      <c r="O113"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3" s="6" t="n"/>
      <c r="Q113" s="5" t="inlineStr"/>
    </row>
    <row r="114" ht="33" customHeight="1">
      <c r="A114" s="4" t="inlineStr">
        <is>
          <t>X-03</t>
        </is>
      </c>
      <c r="B114" s="5" t="inlineStr">
        <is>
          <t>Respaldo y publicación</t>
        </is>
      </c>
      <c r="C114" s="5" t="inlineStr">
        <is>
          <t>La app está verificada en móviles reales, instalada como icono desde la web publicada.</t>
        </is>
      </c>
      <c r="D114" s="5" t="inlineStr">
        <is>
          <t>Alta</t>
        </is>
      </c>
      <c r="E114" s="5" t="inlineStr">
        <is>
          <t>Desarrollo · v1.1</t>
        </is>
      </c>
      <c r="F114" s="5" t="inlineStr">
        <is>
          <t>F7</t>
        </is>
      </c>
      <c r="G114" s="5" t="inlineStr">
        <is>
          <t>F7.2</t>
        </is>
      </c>
      <c r="H114" s="5" t="inlineStr">
        <is>
          <t>D</t>
        </is>
      </c>
      <c r="I114" s="5" t="inlineStr">
        <is>
          <t>La app instalada desde la web funciona en un Android, un iPhone y un Windows reales.</t>
        </is>
      </c>
      <c r="J114" s="5" t="inlineStr">
        <is>
          <t>No cumple</t>
        </is>
      </c>
      <c r="K114" s="5" t="inlineStr">
        <is>
          <t>—</t>
        </is>
      </c>
      <c r="L114" s="5" t="inlineStr">
        <is>
          <t>—</t>
        </is>
      </c>
      <c r="M114" s="5" t="inlineStr">
        <is>
          <t>Pendiente</t>
        </is>
      </c>
      <c r="N114" s="5" t="inlineStr">
        <is>
          <t>Cliente</t>
        </is>
      </c>
      <c r="O114" s="5" t="inlineStr">
        <is>
          <t>Cierra G-04 y PL-01 a PL-03 en su modo web.</t>
        </is>
      </c>
      <c r="P114" s="6" t="n"/>
      <c r="Q114" s="5" t="inlineStr"/>
    </row>
  </sheetData>
  <autoFilter ref="A4:Q114"/>
  <conditionalFormatting sqref="J5:J114">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4">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4" showDropDown="0" showInputMessage="0" showErrorMessage="0" allowBlank="0" errorTitle="Valor no válido" error="Elige un valor de la lista. Están descritos en la hoja Leyenda." type="list">
      <formula1>"Cumple,Cumple parcialmente,No cumple,No aplica"</formula1>
    </dataValidation>
    <dataValidation sqref="M5:M114" showDropDown="0" showInputMessage="0" showErrorMessage="0" allowBlank="0" errorTitle="Valor no válido" error="Elige un valor de la lista. Están descritos en la hoja Leyenda." type="list">
      <formula1>"Verificado,Verificado parcialmente,Pendiente,No aplica"</formula1>
    </dataValidation>
    <dataValidation sqref="H5:H114"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COUNTIF(Matriz!$F$5:$F$114,"*F1*")</f>
        <v/>
      </c>
      <c r="C5" s="7">
        <f>COUNTIFS(Matriz!$F$5:$F$114,"*F1*",Matriz!$J$5:$J$114,"Cumple")</f>
        <v/>
      </c>
      <c r="D5" s="7">
        <f>COUNTIFS(Matriz!$F$5:$F$114,"*F1*",Matriz!$J$5:$J$114,"Cumple parcialmente")</f>
        <v/>
      </c>
      <c r="E5" s="7">
        <f>COUNTIFS(Matriz!$F$5:$F$114,"*F1*",Matriz!$J$5:$J$114,"No cumple")</f>
        <v/>
      </c>
      <c r="F5" s="7">
        <f>COUNTIFS(Matriz!$F$5:$F$114,"*F1*",Matriz!$J$5:$J$114,"No aplica")</f>
        <v/>
      </c>
      <c r="G5" s="8">
        <f>IFERROR(C5/B5,0)</f>
        <v/>
      </c>
      <c r="H5" s="7">
        <f>COUNTIFS(Matriz!$F$5:$F$114,"*F1*",Matriz!$M$5:$M$114,"Verificado")</f>
        <v/>
      </c>
      <c r="I5" s="7">
        <f>COUNTIFS(Matriz!$F$5:$F$114,"*F1*",Matriz!$M$5:$M$114,"Verificado parcialmente")</f>
        <v/>
      </c>
    </row>
    <row r="6">
      <c r="A6" s="7" t="inlineStr">
        <is>
          <t>F2 · Sonido propio y archivo autónomo</t>
        </is>
      </c>
      <c r="B6" s="7">
        <f>COUNTIF(Matriz!$F$5:$F$114,"*F2*")</f>
        <v/>
      </c>
      <c r="C6" s="7">
        <f>COUNTIFS(Matriz!$F$5:$F$114,"*F2*",Matriz!$J$5:$J$114,"Cumple")</f>
        <v/>
      </c>
      <c r="D6" s="7">
        <f>COUNTIFS(Matriz!$F$5:$F$114,"*F2*",Matriz!$J$5:$J$114,"Cumple parcialmente")</f>
        <v/>
      </c>
      <c r="E6" s="7">
        <f>COUNTIFS(Matriz!$F$5:$F$114,"*F2*",Matriz!$J$5:$J$114,"No cumple")</f>
        <v/>
      </c>
      <c r="F6" s="7">
        <f>COUNTIFS(Matriz!$F$5:$F$114,"*F2*",Matriz!$J$5:$J$114,"No aplica")</f>
        <v/>
      </c>
      <c r="G6" s="8">
        <f>IFERROR(C6/B6,0)</f>
        <v/>
      </c>
      <c r="H6" s="7">
        <f>COUNTIFS(Matriz!$F$5:$F$114,"*F2*",Matriz!$M$5:$M$114,"Verificado")</f>
        <v/>
      </c>
      <c r="I6" s="7">
        <f>COUNTIFS(Matriz!$F$5:$F$114,"*F2*",Matriz!$M$5:$M$114,"Verificado parcialmente")</f>
        <v/>
      </c>
    </row>
    <row r="7">
      <c r="A7" s="7" t="inlineStr">
        <is>
          <t>F3 · Interfaz y adaptación</t>
        </is>
      </c>
      <c r="B7" s="7">
        <f>COUNTIF(Matriz!$F$5:$F$114,"*F3*")</f>
        <v/>
      </c>
      <c r="C7" s="7">
        <f>COUNTIFS(Matriz!$F$5:$F$114,"*F3*",Matriz!$J$5:$J$114,"Cumple")</f>
        <v/>
      </c>
      <c r="D7" s="7">
        <f>COUNTIFS(Matriz!$F$5:$F$114,"*F3*",Matriz!$J$5:$J$114,"Cumple parcialmente")</f>
        <v/>
      </c>
      <c r="E7" s="7">
        <f>COUNTIFS(Matriz!$F$5:$F$114,"*F3*",Matriz!$J$5:$J$114,"No cumple")</f>
        <v/>
      </c>
      <c r="F7" s="7">
        <f>COUNTIFS(Matriz!$F$5:$F$114,"*F3*",Matriz!$J$5:$J$114,"No aplica")</f>
        <v/>
      </c>
      <c r="G7" s="8">
        <f>IFERROR(C7/B7,0)</f>
        <v/>
      </c>
      <c r="H7" s="7">
        <f>COUNTIFS(Matriz!$F$5:$F$114,"*F3*",Matriz!$M$5:$M$114,"Verificado")</f>
        <v/>
      </c>
      <c r="I7" s="7">
        <f>COUNTIFS(Matriz!$F$5:$F$114,"*F3*",Matriz!$M$5:$M$114,"Verificado parcialmente")</f>
        <v/>
      </c>
    </row>
    <row r="8">
      <c r="A8" s="7" t="inlineStr">
        <is>
          <t>F4 · Afinador por micrófono</t>
        </is>
      </c>
      <c r="B8" s="7">
        <f>COUNTIF(Matriz!$F$5:$F$114,"*F4*")</f>
        <v/>
      </c>
      <c r="C8" s="7">
        <f>COUNTIFS(Matriz!$F$5:$F$114,"*F4*",Matriz!$J$5:$J$114,"Cumple")</f>
        <v/>
      </c>
      <c r="D8" s="7">
        <f>COUNTIFS(Matriz!$F$5:$F$114,"*F4*",Matriz!$J$5:$J$114,"Cumple parcialmente")</f>
        <v/>
      </c>
      <c r="E8" s="7">
        <f>COUNTIFS(Matriz!$F$5:$F$114,"*F4*",Matriz!$J$5:$J$114,"No cumple")</f>
        <v/>
      </c>
      <c r="F8" s="7">
        <f>COUNTIFS(Matriz!$F$5:$F$114,"*F4*",Matriz!$J$5:$J$114,"No aplica")</f>
        <v/>
      </c>
      <c r="G8" s="8">
        <f>IFERROR(C8/B8,0)</f>
        <v/>
      </c>
      <c r="H8" s="7">
        <f>COUNTIFS(Matriz!$F$5:$F$114,"*F4*",Matriz!$M$5:$M$114,"Verificado")</f>
        <v/>
      </c>
      <c r="I8" s="7">
        <f>COUNTIFS(Matriz!$F$5:$F$114,"*F4*",Matriz!$M$5:$M$114,"Verificado parcialmente")</f>
        <v/>
      </c>
    </row>
    <row r="9">
      <c r="A9" s="7" t="inlineStr">
        <is>
          <t>F5 · Escalas, metrónomo y acordes</t>
        </is>
      </c>
      <c r="B9" s="7">
        <f>COUNTIF(Matriz!$F$5:$F$114,"*F5*")</f>
        <v/>
      </c>
      <c r="C9" s="7">
        <f>COUNTIFS(Matriz!$F$5:$F$114,"*F5*",Matriz!$J$5:$J$114,"Cumple")</f>
        <v/>
      </c>
      <c r="D9" s="7">
        <f>COUNTIFS(Matriz!$F$5:$F$114,"*F5*",Matriz!$J$5:$J$114,"Cumple parcialmente")</f>
        <v/>
      </c>
      <c r="E9" s="7">
        <f>COUNTIFS(Matriz!$F$5:$F$114,"*F5*",Matriz!$J$5:$J$114,"No cumple")</f>
        <v/>
      </c>
      <c r="F9" s="7">
        <f>COUNTIFS(Matriz!$F$5:$F$114,"*F5*",Matriz!$J$5:$J$114,"No aplica")</f>
        <v/>
      </c>
      <c r="G9" s="8">
        <f>IFERROR(C9/B9,0)</f>
        <v/>
      </c>
      <c r="H9" s="7">
        <f>COUNTIFS(Matriz!$F$5:$F$114,"*F5*",Matriz!$M$5:$M$114,"Verificado")</f>
        <v/>
      </c>
      <c r="I9" s="7">
        <f>COUNTIFS(Matriz!$F$5:$F$114,"*F5*",Matriz!$M$5:$M$114,"Verificado parcialmente")</f>
        <v/>
      </c>
    </row>
    <row r="10">
      <c r="A10" s="7" t="inlineStr">
        <is>
          <t>F6 · Preparación para distribución</t>
        </is>
      </c>
      <c r="B10" s="7">
        <f>COUNTIF(Matriz!$F$5:$F$114,"*F6*")</f>
        <v/>
      </c>
      <c r="C10" s="7">
        <f>COUNTIFS(Matriz!$F$5:$F$114,"*F6*",Matriz!$J$5:$J$114,"Cumple")</f>
        <v/>
      </c>
      <c r="D10" s="7">
        <f>COUNTIFS(Matriz!$F$5:$F$114,"*F6*",Matriz!$J$5:$J$114,"Cumple parcialmente")</f>
        <v/>
      </c>
      <c r="E10" s="7">
        <f>COUNTIFS(Matriz!$F$5:$F$114,"*F6*",Matriz!$J$5:$J$114,"No cumple")</f>
        <v/>
      </c>
      <c r="F10" s="7">
        <f>COUNTIFS(Matriz!$F$5:$F$114,"*F6*",Matriz!$J$5:$J$114,"No aplica")</f>
        <v/>
      </c>
      <c r="G10" s="8">
        <f>IFERROR(C10/B10,0)</f>
        <v/>
      </c>
      <c r="H10" s="7">
        <f>COUNTIFS(Matriz!$F$5:$F$114,"*F6*",Matriz!$M$5:$M$114,"Verificado")</f>
        <v/>
      </c>
      <c r="I10" s="7">
        <f>COUNTIFS(Matriz!$F$5:$F$114,"*F6*",Matriz!$M$5:$M$114,"Verificado parcialmente")</f>
        <v/>
      </c>
    </row>
    <row r="11">
      <c r="A11" s="7" t="inlineStr">
        <is>
          <t>F7 · Publicación y lanzamiento</t>
        </is>
      </c>
      <c r="B11" s="7">
        <f>COUNTIF(Matriz!$F$5:$F$114,"*F7*")</f>
        <v/>
      </c>
      <c r="C11" s="7">
        <f>COUNTIFS(Matriz!$F$5:$F$114,"*F7*",Matriz!$J$5:$J$114,"Cumple")</f>
        <v/>
      </c>
      <c r="D11" s="7">
        <f>COUNTIFS(Matriz!$F$5:$F$114,"*F7*",Matriz!$J$5:$J$114,"Cumple parcialmente")</f>
        <v/>
      </c>
      <c r="E11" s="7">
        <f>COUNTIFS(Matriz!$F$5:$F$114,"*F7*",Matriz!$J$5:$J$114,"No cumple")</f>
        <v/>
      </c>
      <c r="F11" s="7">
        <f>COUNTIFS(Matriz!$F$5:$F$114,"*F7*",Matriz!$J$5:$J$114,"No aplica")</f>
        <v/>
      </c>
      <c r="G11" s="8">
        <f>IFERROR(C11/B11,0)</f>
        <v/>
      </c>
      <c r="H11" s="7">
        <f>COUNTIFS(Matriz!$F$5:$F$114,"*F7*",Matriz!$M$5:$M$114,"Verificado")</f>
        <v/>
      </c>
      <c r="I11" s="7">
        <f>COUNTIFS(Matriz!$F$5:$F$114,"*F7*",Matriz!$M$5:$M$114,"Verificado parcialmente")</f>
        <v/>
      </c>
    </row>
    <row r="12">
      <c r="A12" s="7" t="inlineStr">
        <is>
          <t>Posterior · fuera de alcance</t>
        </is>
      </c>
      <c r="B12" s="7">
        <f>COUNTIF(Matriz!$F$5:$F$114,"*Posterior*")</f>
        <v/>
      </c>
      <c r="C12" s="7">
        <f>COUNTIFS(Matriz!$F$5:$F$114,"*Posterior*",Matriz!$J$5:$J$114,"Cumple")</f>
        <v/>
      </c>
      <c r="D12" s="7">
        <f>COUNTIFS(Matriz!$F$5:$F$114,"*Posterior*",Matriz!$J$5:$J$114,"Cumple parcialmente")</f>
        <v/>
      </c>
      <c r="E12" s="7">
        <f>COUNTIFS(Matriz!$F$5:$F$114,"*Posterior*",Matriz!$J$5:$J$114,"No cumple")</f>
        <v/>
      </c>
      <c r="F12" s="7">
        <f>COUNTIFS(Matriz!$F$5:$F$114,"*Posterior*",Matriz!$J$5:$J$114,"No aplica")</f>
        <v/>
      </c>
      <c r="G12" s="8">
        <f>IFERROR(C12/B12,0)</f>
        <v/>
      </c>
      <c r="H12" s="7">
        <f>COUNTIFS(Matriz!$F$5:$F$114,"*Posterior*",Matriz!$M$5:$M$114,"Verificado")</f>
        <v/>
      </c>
      <c r="I12" s="7">
        <f>COUNTIFS(Matriz!$F$5:$F$114,"*Posterior*",Matriz!$M$5:$M$114,"Verificado parcialmente")</f>
        <v/>
      </c>
    </row>
    <row r="13">
      <c r="A13" s="9" t="inlineStr">
        <is>
          <t>Total del producto</t>
        </is>
      </c>
      <c r="B13" s="9">
        <f>COUNTA(Matriz!$A$5:$A$114)</f>
        <v/>
      </c>
      <c r="C13" s="9">
        <f>COUNTIF(Matriz!$J$5:$J$114,"Cumple")</f>
        <v/>
      </c>
      <c r="D13" s="9">
        <f>COUNTIF(Matriz!$J$5:$J$114,"Cumple parcialmente")</f>
        <v/>
      </c>
      <c r="E13" s="9">
        <f>COUNTIF(Matriz!$J$5:$J$114,"No cumple")</f>
        <v/>
      </c>
      <c r="F13" s="9">
        <f>COUNTIF(Matriz!$J$5:$J$114,"No aplica")</f>
        <v/>
      </c>
      <c r="G13" s="10">
        <f>IFERROR(C13/B13,0)</f>
        <v/>
      </c>
      <c r="H13" s="9">
        <f>COUNTIF(Matriz!$M$5:$M$114,"Verificado")</f>
        <v/>
      </c>
      <c r="I13" s="9">
        <f>COUNTIF(Matriz!$M$5:$M$114,"Verificado parcialmente")</f>
        <v/>
      </c>
    </row>
    <row r="15">
      <c r="A15" s="11" t="inlineStr">
        <is>
          <t>Por método de verificación</t>
        </is>
      </c>
    </row>
    <row r="16">
      <c r="A16" s="12" t="inlineStr">
        <is>
          <t>I · Inspección</t>
        </is>
      </c>
      <c r="B16" s="12">
        <f>COUNTIF(Matriz!$H$5:$H$114,"I")</f>
        <v/>
      </c>
    </row>
    <row r="17">
      <c r="A17" s="12" t="inlineStr">
        <is>
          <t>A · Análisis</t>
        </is>
      </c>
      <c r="B17" s="12">
        <f>COUNTIF(Matriz!$H$5:$H$114,"A")</f>
        <v/>
      </c>
    </row>
    <row r="18">
      <c r="A18" s="12" t="inlineStr">
        <is>
          <t>D · Demostración</t>
        </is>
      </c>
      <c r="B18" s="12">
        <f>COUNTIF(Matriz!$H$5:$H$114,"D")</f>
        <v/>
      </c>
    </row>
    <row r="19">
      <c r="A19" s="12" t="inlineStr">
        <is>
          <t>T · Prueba</t>
        </is>
      </c>
      <c r="B19" s="12">
        <f>COUNTIF(Matriz!$H$5:$H$114,"T")</f>
        <v/>
      </c>
    </row>
    <row r="20">
      <c r="A20" s="12" t="inlineStr">
        <is>
          <t>I+T · Inspección y prueba</t>
        </is>
      </c>
      <c r="B20" s="12">
        <f>COUNTIF(Matriz!$H$5:$H$114,"I+T")</f>
        <v/>
      </c>
    </row>
    <row r="21">
      <c r="A21" s="12" t="inlineStr">
        <is>
          <t>N/A · No aplica</t>
        </is>
      </c>
      <c r="B21" s="12">
        <f>COUNTIF(Matriz!$H$5:$H$114,"N/A")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1.24</t>
        </is>
      </c>
      <c r="B2" s="14" t="inlineStr">
        <is>
          <t>22/10/2026</t>
        </is>
      </c>
      <c r="C2" s="14" t="inlineStr">
        <is>
          <t>v1.26</t>
        </is>
      </c>
      <c r="D2" s="14" t="inlineStr">
        <is>
          <t>0.6.1</t>
        </is>
      </c>
      <c r="E2" s="14" t="inlineStr">
        <is>
          <t>F5.8, tu comentario #1: MT-06 nuevo, el péndulo del metrónomo (la pesa arriba, más lento). Verificado parcialmente hasta la Sesión 2.</t>
        </is>
      </c>
    </row>
    <row r="3" ht="46" customHeight="1">
      <c r="A3" s="14" t="inlineStr">
        <is>
          <t>1.23</t>
        </is>
      </c>
      <c r="B3" s="14" t="inlineStr">
        <is>
          <t>22/10/2026</t>
        </is>
      </c>
      <c r="C3" s="14" t="inlineStr">
        <is>
          <t>v1.25</t>
        </is>
      </c>
      <c r="D3" s="14" t="inlineStr">
        <is>
          <t>0.6.0</t>
        </is>
      </c>
      <c r="E3" s="14" t="inlineStr">
        <is>
          <t>F6.1: G-08 cumple y queda verificado por el banco, que pasa las pruebas que arrancan la app contra la app de varios archivos y contra el archivo autónomo (AR-13 y AT-12).</t>
        </is>
      </c>
    </row>
    <row r="4" ht="46" customHeight="1">
      <c r="A4" s="14" t="inlineStr">
        <is>
          <t>1.22</t>
        </is>
      </c>
      <c r="B4" s="14" t="inlineStr">
        <is>
          <t>22/10/2026</t>
        </is>
      </c>
      <c r="C4" s="14" t="inlineStr">
        <is>
          <t>v1.24</t>
        </is>
      </c>
      <c r="D4" s="14" t="inlineStr">
        <is>
          <t>0.5.7</t>
        </is>
      </c>
      <c r="E4" s="14" t="inlineStr">
        <is>
          <t>Punto de control CP-5 (AR-12 y AT-11): una sola vara para lo que compruebas tú. E-01, E-02, E-03, E-04, E-06, P-03, MT-01, MT-05, AC-02 y AC-03, verificados parcialmente hasta la Sesión 2; MT-04, arranque con el audio en pausa (0.5.7); lo pendiente de CP-5, en el comentario de su requisito.</t>
        </is>
      </c>
    </row>
    <row r="5" ht="46" customHeight="1">
      <c r="A5" s="14" t="inlineStr">
        <is>
          <t>1.21</t>
        </is>
      </c>
      <c r="B5" s="14" t="inlineStr">
        <is>
          <t>21/10/2026</t>
        </is>
      </c>
      <c r="C5" s="14" t="inlineStr">
        <is>
          <t>v1.23</t>
        </is>
      </c>
      <c r="D5" s="14" t="inlineStr">
        <is>
          <t>0.5.6</t>
        </is>
      </c>
      <c r="E5" s="14" t="inlineStr">
        <is>
          <t>Auditoría AR-11: G-02, C-04 y V-01 con las seis áreas; criterio de AC-01 preciso (sus4 y tríadas); evidencias completadas en MT-01, MT-05, AC-01, AC-03 y AC-04 (método T).</t>
        </is>
      </c>
    </row>
    <row r="6" ht="46" customHeight="1">
      <c r="A6" s="14" t="inlineStr">
        <is>
          <t>1.20</t>
        </is>
      </c>
      <c r="B6" s="14" t="inlineStr">
        <is>
          <t>21/10/2026</t>
        </is>
      </c>
      <c r="C6" s="14" t="inlineStr">
        <is>
          <t>v1.22</t>
        </is>
      </c>
      <c r="D6" s="14" t="inlineStr">
        <is>
          <t>0.5.5</t>
        </is>
      </c>
      <c r="E6" s="14" t="inlineStr">
        <is>
          <t>AC-01 a AC-05 implementados y verificados por el banco (F5.7); AC-06 nuevo, el buscador; criterios al día con tu guía del listado.</t>
        </is>
      </c>
    </row>
    <row r="7" ht="46" customHeight="1">
      <c r="A7" s="14" t="inlineStr">
        <is>
          <t>1.19</t>
        </is>
      </c>
      <c r="B7" s="14" t="inlineStr">
        <is>
          <t>21/10/2026</t>
        </is>
      </c>
      <c r="C7" s="14" t="inlineStr">
        <is>
          <t>v1.21</t>
        </is>
      </c>
      <c r="D7" s="14" t="inlineStr">
        <is>
          <t>0.5.4</t>
        </is>
      </c>
      <c r="E7" s="14" t="inlineStr">
        <is>
          <t>MT-01 a MT-05 implementados y verificados por el banco (F5.6); criterios del metrónomo al día con tu guía: un solo acento, doce compases, figuras.</t>
        </is>
      </c>
    </row>
    <row r="8" ht="46" customHeight="1">
      <c r="A8" s="14" t="inlineStr">
        <is>
          <t>1.18</t>
        </is>
      </c>
      <c r="B8" s="14" t="inlineStr">
        <is>
          <t>21/10/2026</t>
        </is>
      </c>
      <c r="C8" s="14" t="inlineStr">
        <is>
          <t>v1.20</t>
        </is>
      </c>
      <c r="D8" s="14" t="inlineStr">
        <is>
          <t>0.5.3</t>
        </is>
      </c>
      <c r="E8" s="14" t="inlineStr">
        <is>
          <t>J-13 por defecto «Reintentar»; MT-05, el metrónomo con su pestaña; criterios de MT-01, AC-02, G-02 y N-06 completados; evidencias nuevas de G-01, P-01, N-06 y J-13 (AR-10 y AT-09); origen de los requisitos del 21/10 corregido.</t>
        </is>
      </c>
    </row>
    <row r="9" ht="46" customHeight="1">
      <c r="A9" s="14" t="inlineStr">
        <is>
          <t>1.17</t>
        </is>
      </c>
      <c r="B9" s="14" t="inlineStr">
        <is>
          <t>21/10/2026</t>
        </is>
      </c>
      <c r="C9" s="14" t="inlineStr">
        <is>
          <t>v1.19</t>
        </is>
      </c>
      <c r="D9" s="14" t="inlineStr">
        <is>
          <t>0.5.2</t>
        </is>
      </c>
      <c r="E9" s="14" t="inlineStr">
        <is>
          <t>J-13 y N-06 nuevos, verificados por el banco; criterios de MT-01 a MT-05 y AC-01 a AC-05 (planificados).</t>
        </is>
      </c>
    </row>
    <row r="10" ht="46" customHeight="1">
      <c r="A10" s="14" t="inlineStr">
        <is>
          <t>1.16</t>
        </is>
      </c>
      <c r="B10" s="14" t="inlineStr">
        <is>
          <t>21/10/2026</t>
        </is>
      </c>
      <c r="C10" s="14" t="inlineStr">
        <is>
          <t>v1.18</t>
        </is>
      </c>
      <c r="D10" s="14" t="inlineStr">
        <is>
          <t>0.5.0</t>
        </is>
      </c>
      <c r="E10" s="14" t="inlineStr">
        <is>
          <t>F5: criterios y evidencias de E-01 a E-06 y P-03; E-02 y E-05 verificados por el banco; E-04 con los intervalos en la línea de notas.</t>
        </is>
      </c>
    </row>
    <row r="11" ht="46" customHeight="1">
      <c r="A11" s="14" t="inlineStr">
        <is>
          <t>1.15</t>
        </is>
      </c>
      <c r="B11" s="14" t="inlineStr">
        <is>
          <t>21/10/2026</t>
        </is>
      </c>
      <c r="C11" s="14" t="inlineStr">
        <is>
          <t>v1.17</t>
        </is>
      </c>
      <c r="D11" s="14" t="inlineStr">
        <is>
          <t>0.4.2</t>
        </is>
      </c>
      <c r="E11" s="14" t="inlineStr">
        <is>
          <t>G-12 nuevo (idioma); J-11 con criterio de banco, verificado; criterios de J-01 (lectura de la nota tocada), J-06 (pistas grandes), J-08 (récords por afinación) y C-02 (idioma).</t>
        </is>
      </c>
    </row>
    <row r="12" ht="46" customHeight="1">
      <c r="A12" s="14" t="inlineStr">
        <is>
          <t>1.14</t>
        </is>
      </c>
      <c r="B12" s="14" t="inlineStr">
        <is>
          <t>21/10/2026</t>
        </is>
      </c>
      <c r="C12" s="14" t="inlineStr">
        <is>
          <t>v1.16</t>
        </is>
      </c>
      <c r="D12" s="14" t="inlineStr">
        <is>
          <t>0.4.0</t>
        </is>
      </c>
      <c r="E12" s="14" t="inlineStr">
        <is>
          <t>F4.1 a F4.3: evidencias del afinador por micrófono (A-02 a A-05, A-02-CA); A-02-CA y A-04 verificados por el banco; G-10 verificado con las etiquetas de F1 a F3.</t>
        </is>
      </c>
    </row>
    <row r="13" ht="46" customHeight="1">
      <c r="A13" s="14" t="inlineStr">
        <is>
          <t>1.13</t>
        </is>
      </c>
      <c r="B13" s="14" t="inlineStr">
        <is>
          <t>20/10/2026</t>
        </is>
      </c>
      <c r="C13" s="14" t="inlineStr">
        <is>
          <t>v1.15</t>
        </is>
      </c>
      <c r="D13" s="14" t="inlineStr">
        <is>
          <t>0.3.3</t>
        </is>
      </c>
      <c r="E13"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4" ht="46" customHeight="1">
      <c r="A14" s="14" t="inlineStr">
        <is>
          <t>1.12</t>
        </is>
      </c>
      <c r="B14" s="14" t="inlineStr">
        <is>
          <t>20/10/2026</t>
        </is>
      </c>
      <c r="C14" s="14" t="inlineStr">
        <is>
          <t>v1.14</t>
        </is>
      </c>
      <c r="D14" s="14" t="inlineStr">
        <is>
          <t>0.3.2</t>
        </is>
      </c>
      <c r="E14" s="14" t="inlineStr">
        <is>
          <t>Criterios de V-04 y G-05: «+» enseña más trastes y el usuario puede pedir trastes de hasta 28 px con el dedo (comentario del cliente del 20/10).</t>
        </is>
      </c>
    </row>
    <row r="15" ht="46" customHeight="1">
      <c r="A15" s="14" t="inlineStr">
        <is>
          <t>1.11</t>
        </is>
      </c>
      <c r="B15" s="14" t="inlineStr">
        <is>
          <t>20/10/2026</t>
        </is>
      </c>
      <c r="C15" s="14" t="inlineStr">
        <is>
          <t>v1.13</t>
        </is>
      </c>
      <c r="D15" s="14" t="inlineStr">
        <is>
          <t>0.3.1</t>
        </is>
      </c>
      <c r="E15" s="14" t="inlineStr">
        <is>
          <t>Etapa F3.4: G-05 cumple, verificado parcialmente hasta la Sesión 1. Su criterio añade los umbrales de la paleta (AR-06 #3).</t>
        </is>
      </c>
    </row>
    <row r="16" ht="46" customHeight="1">
      <c r="A16" s="14" t="inlineStr">
        <is>
          <t>1.10</t>
        </is>
      </c>
      <c r="B16" s="14" t="inlineStr">
        <is>
          <t>20/10/2026</t>
        </is>
      </c>
      <c r="C16" s="14" t="inlineStr">
        <is>
          <t>v1.12</t>
        </is>
      </c>
      <c r="D16" s="14" t="inlineStr">
        <is>
          <t>0.3.0</t>
        </is>
      </c>
      <c r="E16" s="14" t="inlineStr">
        <is>
          <t>Etapa F3.2: V-01 y C-07 cumplen, verificados parcialmente hasta la Sesión 1. Criterios revisados: V-04 (lo guardado se conserva) y G-05 (excepción en vertical por debajo de 660 px de alto).</t>
        </is>
      </c>
    </row>
    <row r="17" ht="46" customHeight="1">
      <c r="A17" s="14" t="inlineStr">
        <is>
          <t>1.9</t>
        </is>
      </c>
      <c r="B17" s="14" t="inlineStr">
        <is>
          <t>20/10/2026</t>
        </is>
      </c>
      <c r="C17" s="14" t="inlineStr">
        <is>
          <t>v1.11</t>
        </is>
      </c>
      <c r="D17" s="14" t="inlineStr">
        <is>
          <t>0.2.3</t>
        </is>
      </c>
      <c r="E17" s="14" t="inlineStr">
        <is>
          <t>Interfaz aprobada: C-06 verificado; C-07 nuevo; criterios revisados de V-01 (40 px con alto útil ≥ 268 px y aviso para girar), V-04 (trastes ≥ 40 px en pantallas táctiles), G-05 (controles de 40 × 40 px) y C-04 (navegación según la disposición).</t>
        </is>
      </c>
    </row>
    <row r="18" ht="46" customHeight="1">
      <c r="A18" s="14" t="inlineStr">
        <is>
          <t>1.8</t>
        </is>
      </c>
      <c r="B18" s="14" t="inlineStr">
        <is>
          <t>20/10/2026</t>
        </is>
      </c>
      <c r="C18" s="14" t="inlineStr">
        <is>
          <t>v1.10</t>
        </is>
      </c>
      <c r="D18" s="14" t="inlineStr">
        <is>
          <t>0.2.3</t>
        </is>
      </c>
      <c r="E18" s="14" t="inlineStr">
        <is>
          <t>S-07 cumple y queda verificado: licencia CC BY de los 161 sonidos del pack de nylon.</t>
        </is>
      </c>
    </row>
    <row r="19" ht="46" customHeight="1">
      <c r="A19" s="14" t="inlineStr">
        <is>
          <t>1.7</t>
        </is>
      </c>
      <c r="B19" s="14" t="inlineStr">
        <is>
          <t>20/10/2026</t>
        </is>
      </c>
      <c r="C19" s="14" t="inlineStr">
        <is>
          <t>v1.9</t>
        </is>
      </c>
      <c r="D19" s="14" t="inlineStr">
        <is>
          <t>0.2.3</t>
        </is>
      </c>
      <c r="E19" s="14" t="inlineStr">
        <is>
          <t>Evidencia de S-07: licencia de nylon comprobada en tres sonidos. Criterios sin cambios.</t>
        </is>
      </c>
    </row>
    <row r="20" ht="46" customHeight="1">
      <c r="A20" s="14" t="inlineStr">
        <is>
          <t>1.6</t>
        </is>
      </c>
      <c r="B20" s="14" t="inlineStr">
        <is>
          <t>19/10/2026</t>
        </is>
      </c>
      <c r="C20" s="14" t="inlineStr">
        <is>
          <t>v1.8</t>
        </is>
      </c>
      <c r="D20" s="14" t="inlineStr">
        <is>
          <t>0.2.3</t>
        </is>
      </c>
      <c r="E20" s="14" t="inlineStr">
        <is>
          <t>CP-2: criterio de G-07 con los límites revisados y solo Windows y Android; X-01 cumple; evidencia de S-01 con la escucha del cliente (V-05).</t>
        </is>
      </c>
    </row>
    <row r="21" ht="46" customHeight="1">
      <c r="A21" s="14" t="inlineStr">
        <is>
          <t>1.5</t>
        </is>
      </c>
      <c r="B21" s="14" t="inlineStr">
        <is>
          <t>19/10/2026</t>
        </is>
      </c>
      <c r="C21" s="14" t="inlineStr">
        <is>
          <t>v1.7</t>
        </is>
      </c>
      <c r="D21" s="14" t="inlineStr">
        <is>
          <t>0.2.2</t>
        </is>
      </c>
      <c r="E21" s="14" t="inlineStr">
        <is>
          <t>Criterio de S-08 según su nueva redacción: nota resultante a ±5 cents tras la corrección.</t>
        </is>
      </c>
    </row>
    <row r="22" ht="46" customHeight="1">
      <c r="A22" s="14" t="inlineStr">
        <is>
          <t>1.4</t>
        </is>
      </c>
      <c r="B22" s="14" t="inlineStr">
        <is>
          <t>19/10/2026</t>
        </is>
      </c>
      <c r="C22" s="14" t="inlineStr">
        <is>
          <t>v1.6</t>
        </is>
      </c>
      <c r="D22" s="14" t="inlineStr">
        <is>
          <t>0.2.1</t>
        </is>
      </c>
      <c r="E22" s="14" t="inlineStr">
        <is>
          <t>G-07 y G-08 verificados parcialmente con el archivo autónomo (V-03 y banco); falta la prueba en cada plataforma (F2.5).</t>
        </is>
      </c>
    </row>
    <row r="23" ht="46" customHeight="1">
      <c r="A23" s="14" t="inlineStr">
        <is>
          <t>1.3</t>
        </is>
      </c>
      <c r="B23" s="14" t="inlineStr">
        <is>
          <t>19/10/2026</t>
        </is>
      </c>
      <c r="C23" s="14" t="inlineStr">
        <is>
          <t>v1.5</t>
        </is>
      </c>
      <c r="D23" s="14" t="inlineStr">
        <is>
          <t>0.2.0</t>
        </is>
      </c>
      <c r="E23" s="14" t="inlineStr">
        <is>
          <t>S-08 verificado: la app usa sus grabaciones medidas (F2.2). Evidencias nuevas en S-01, S-07 y S-08: banco con todas las notas y grabación en el navegador (V-02).</t>
        </is>
      </c>
    </row>
    <row r="24" ht="46" customHeight="1">
      <c r="A24" s="14" t="inlineStr">
        <is>
          <t>1.2</t>
        </is>
      </c>
      <c r="B24" s="14" t="inlineStr">
        <is>
          <t>15/10/2026</t>
        </is>
      </c>
      <c r="C24" s="14" t="inlineStr">
        <is>
          <t>v1.4</t>
        </is>
      </c>
      <c r="D24" s="14" t="inlineStr">
        <is>
          <t>0.1.4</t>
        </is>
      </c>
      <c r="E24" s="14" t="inlineStr">
        <is>
          <t>Nuevo PL-04: adaptabilidad entre sistemas, con docs/compatibilidad.md como evidencia. PL-02 sin Android de pruebas por ahora; X-02 con despliegue de pruebas previo.</t>
        </is>
      </c>
    </row>
    <row r="25" ht="46" customHeight="1">
      <c r="A25" s="14" t="inlineStr">
        <is>
          <t>1.1</t>
        </is>
      </c>
      <c r="B25" s="14" t="inlineStr">
        <is>
          <t>15/10/2026</t>
        </is>
      </c>
      <c r="C25" s="14" t="inlineStr">
        <is>
          <t>v1.3</t>
        </is>
      </c>
      <c r="D25" s="14" t="inlineStr">
        <is>
          <t>0.1.4</t>
        </is>
      </c>
      <c r="E25"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6" ht="46" customHeight="1">
      <c r="A26" s="14" t="inlineStr">
        <is>
          <t>1.0</t>
        </is>
      </c>
      <c r="B26" s="14" t="inlineStr">
        <is>
          <t>14/10/2026</t>
        </is>
      </c>
      <c r="C26" s="14" t="inlineStr">
        <is>
          <t>v1.2</t>
        </is>
      </c>
      <c r="D26" s="14" t="inlineStr">
        <is>
          <t>0.1.2</t>
        </is>
      </c>
      <c r="E26"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2026-10-22T15:00:18Z</dcterms:created>
  <dcterms:modified xmlns:dcterms="http://purl.org/dc/terms/" xmlns:xsi="http://www.w3.org/2001/XMLSchema-instance" xsi:type="dcterms:W3CDTF">2026-10-22T15:00:18Z</dcterms:modified>
</cp:coreProperties>
</file>