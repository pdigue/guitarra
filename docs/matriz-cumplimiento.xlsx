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1.7. Base: requisitos.md v1.9 · app 0.2.3 · roadmap 3.7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v1.9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>
        <is>
          <t>Modificado</t>
        </is>
      </c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93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Desarrollo · v1.1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prefers-reduced-motion.</t>
        </is>
      </c>
      <c r="J9" s="5" t="inlineStr">
        <is>
          <t>Cumple parcialmente</t>
        </is>
      </c>
      <c r="K9" s="5" t="inlineStr">
        <is>
          <t>0.1.1</t>
        </is>
      </c>
      <c r="L9" s="5" t="inlineStr">
        <is>
          <t>—</t>
        </is>
      </c>
      <c r="M9" s="5" t="inlineStr">
        <is>
          <t>Pendiente</t>
        </is>
      </c>
      <c r="N9" s="5" t="inlineStr">
        <is>
          <t>Auditor técnico</t>
        </is>
      </c>
      <c r="O9" s="5" t="inlineStr">
        <is>
          <t>Hecho: foco visible, movimiento reducido, interruptores con role="switch" (0.1.1), aria-pressed en los selectores y aviso del reto para lectores de pantalla (0.1.2). Falta: recorrer el mástil con teclado y auditar el contraste.</t>
        </is>
      </c>
      <c r="P9" s="6" t="n"/>
      <c r="Q9" s="5" t="inlineStr"/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08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· Banco (node --test)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>
        <is>
          <t>Modificado</t>
        </is>
      </c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 parcialmente</t>
        </is>
      </c>
      <c r="K38" s="5" t="inlineStr">
        <is>
          <t>—</t>
        </is>
      </c>
      <c r="L38" s="5" t="inlineStr">
        <is>
          <t>CREDITOS.md y samples/ (F2.1) · Banco (node --test): ninguna dirección externa (0.2.0) · licencia de nylon comprobada en 3 sonidos del pack (20/10)</t>
        </is>
      </c>
      <c r="M38" s="5" t="inlineStr">
        <is>
          <t>Verificado parcialmente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comprobaron tres sonidos del pack de nylon, de cuerdas distintas (183078, 183083 y 183089): los tres «Attribution 4.0». Falta confirmar el pack entero, que solo se ve en la búsqueda de Freesound, cerrada a los agentes: lo miras tú en un minuto. El repositorio y la web de pruebas ya son públicos, así que se hace lo antes posible y como tarde al cerrar F3 (AR-03); si algún sonido no fuera CC BY, se sustituye su grabación.</t>
        </is>
      </c>
      <c r="P38" s="6" t="n"/>
      <c r="Q38" s="5" t="inlineStr">
        <is>
          <t>Modificado</t>
        </is>
      </c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63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63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listado 14/09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un móvil apaisado cada cuerda mide al menos 40 px, y en vertical aparece el aviso para girar.</t>
        </is>
      </c>
      <c r="J79" s="5" t="inlineStr">
        <is>
          <t>Cumple parcialmente</t>
        </is>
      </c>
      <c r="K79" s="5" t="inlineStr">
        <is>
          <t>0.1.0</t>
        </is>
      </c>
      <c r="L79" s="5" t="inlineStr">
        <is>
          <t>—</t>
        </is>
      </c>
      <c r="M79" s="5" t="inlineStr">
        <is>
          <t>Pendiente</t>
        </is>
      </c>
      <c r="N79" s="5" t="inlineStr">
        <is>
          <t>Cliente</t>
        </is>
      </c>
      <c r="O79" s="5" t="inlineStr">
        <is>
          <t>El bloqueo de orientación tiene mal soporte en iOS. Menos trastes visibles en vertical es la solución adoptada. Falta el aviso y un diseño apaisado que dé altura a las cuerdas.</t>
        </is>
      </c>
      <c r="P79" s="6" t="n"/>
      <c r="Q79" s="5" t="inlineStr"/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63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listado 14/09</t>
        </is>
      </c>
      <c r="F82" s="5" t="inlineStr">
        <is>
          <t>F1</t>
        </is>
      </c>
      <c r="G82" s="5" t="inlineStr">
        <is>
          <t>F1.1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</t>
        </is>
      </c>
      <c r="M82" s="5" t="inlineStr">
        <is>
          <t>Pendiente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</t>
        </is>
      </c>
      <c r="P82" s="6" t="n"/>
      <c r="Q82" s="5" t="inlineStr"/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33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Panel deslizante desde la cabecera.</t>
        </is>
      </c>
      <c r="P88" s="6" t="n"/>
      <c r="Q88" s="5" t="inlineStr"/>
    </row>
    <row r="89" ht="63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</t>
        </is>
      </c>
      <c r="P89" s="6" t="n"/>
      <c r="Q89" s="5" t="inlineStr"/>
    </row>
    <row r="90" ht="33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Nomenclatura, pentagrama y las dos pistas del juego.</t>
        </is>
      </c>
      <c r="P90" s="6" t="n"/>
      <c r="Q90" s="5" t="inlineStr"/>
    </row>
    <row r="91" ht="33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listado 14/09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barra inferior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destinos.</t>
        </is>
      </c>
      <c r="P91" s="6" t="n"/>
      <c r="Q91" s="5" t="inlineStr"/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48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No cumple</t>
        </is>
      </c>
      <c r="K93" s="5" t="inlineStr">
        <is>
          <t>—</t>
        </is>
      </c>
      <c r="L93" s="5" t="inlineStr">
        <is>
          <t>—</t>
        </is>
      </c>
      <c r="M93" s="5" t="inlineStr">
        <is>
          <t>Pendiente</t>
        </is>
      </c>
      <c r="N93" s="5" t="inlineStr">
        <is>
          <t>Auditor de requisitos</t>
        </is>
      </c>
      <c r="O93" s="5" t="inlineStr">
        <is>
          <t>Bloqueante de F3.2 y de toda F5. Requiere sesión dedicada.</t>
        </is>
      </c>
      <c r="P93" s="6" t="n"/>
      <c r="Q93" s="5" t="inlineStr"/>
    </row>
    <row r="94" ht="78" customHeight="1">
      <c r="A94" s="4" t="inlineStr">
        <is>
          <t>X-01</t>
        </is>
      </c>
      <c r="B94" s="5" t="inlineStr">
        <is>
          <t>Respaldo y publicación</t>
        </is>
      </c>
      <c r="C94" s="5" t="inlineStr">
        <is>
          <t>El código y la documentación están respaldados en el repositorio remoto (GitHub). Respaldar no es publicar.</t>
        </is>
      </c>
      <c r="D94" s="5" t="inlineStr">
        <is>
          <t>Alta</t>
        </is>
      </c>
      <c r="E94" s="5" t="inlineStr">
        <is>
          <t>Desarrollo · v1.1</t>
        </is>
      </c>
      <c r="F94" s="5" t="inlineStr">
        <is>
          <t>F1</t>
        </is>
      </c>
      <c r="G94" s="5" t="inlineStr">
        <is>
          <t>F1.2 · F1.4</t>
        </is>
      </c>
      <c r="H94" s="5" t="inlineStr">
        <is>
          <t>I</t>
        </is>
      </c>
      <c r="I94" s="5" t="inlineStr">
        <is>
          <t>GitHub muestra la última versión en main, entrada por pull request aprobado, y la etiqueta de cierre de fase.</t>
        </is>
      </c>
      <c r="J94" s="5" t="inlineStr">
        <is>
          <t>Cumple</t>
        </is>
      </c>
      <c r="K94" s="5" t="inlineStr">
        <is>
          <t>0.1.4</t>
        </is>
      </c>
      <c r="L94" s="5" t="inlineStr">
        <is>
          <t>PR #1 a #5 fusionados · etiqueta v0.1.5</t>
        </is>
      </c>
      <c r="M94" s="5" t="inlineStr">
        <is>
          <t>Verificado parcialmente</t>
        </is>
      </c>
      <c r="N94" s="5" t="inlineStr">
        <is>
          <t>Auditor de requisitos</t>
        </is>
      </c>
      <c r="O94" s="5" t="inlineStr">
        <is>
          <t>Desde el 15/10 todo el proyecto está en pdigue/guitarra; cada versión entra por pull request aprobado (del #1 al #5) y F1 se cerró con la etiqueta v0.1.5. El repositorio es público.</t>
        </is>
      </c>
      <c r="P94" s="6" t="n"/>
      <c r="Q94" s="5" t="inlineStr"/>
    </row>
    <row r="95" ht="120" customHeight="1">
      <c r="A95" s="4" t="inlineStr">
        <is>
          <t>X-02</t>
        </is>
      </c>
      <c r="B95" s="5" t="inlineStr">
        <is>
          <t>Respaldo y publicación</t>
        </is>
      </c>
      <c r="C95" s="5" t="inlineStr">
        <is>
          <t>La app está publicada en una URL pública (GitHub Pages).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F7</t>
        </is>
      </c>
      <c r="G95" s="5" t="inlineStr">
        <is>
          <t>F7.1</t>
        </is>
      </c>
      <c r="H95" s="5" t="inlineStr">
        <is>
          <t>D</t>
        </is>
      </c>
      <c r="I95" s="5" t="inlineStr">
        <is>
          <t>La URL pública carga la app desde un dispositivo ajeno al proyecto.</t>
        </is>
      </c>
      <c r="J95" s="5" t="inlineStr">
        <is>
          <t>No cumple</t>
        </is>
      </c>
      <c r="K95" s="5" t="inlineStr">
        <is>
          <t>—</t>
        </is>
      </c>
      <c r="L95" s="5" t="inlineStr">
        <is>
          <t>—</t>
        </is>
      </c>
      <c r="M95" s="5" t="inlineStr">
        <is>
          <t>Pendiente</t>
        </is>
      </c>
      <c r="N95" s="5" t="inlineStr">
        <is>
          <t>Cliente</t>
        </is>
      </c>
      <c r="O95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5" s="6" t="n"/>
      <c r="Q95" s="5" t="inlineStr"/>
    </row>
    <row r="96" ht="33" customHeight="1">
      <c r="A96" s="4" t="inlineStr">
        <is>
          <t>X-03</t>
        </is>
      </c>
      <c r="B96" s="5" t="inlineStr">
        <is>
          <t>Respaldo y publicación</t>
        </is>
      </c>
      <c r="C96" s="5" t="inlineStr">
        <is>
          <t>La app está verificada en móviles reales, instalada como icono desde la web publicada.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F7.2</t>
        </is>
      </c>
      <c r="H96" s="5" t="inlineStr">
        <is>
          <t>D</t>
        </is>
      </c>
      <c r="I96" s="5" t="inlineStr">
        <is>
          <t>La app instalada desde la web funciona en un Android, un iPhone y un Windows reales.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Cierra G-04 y PL-01 a PL-03 en su modo web.</t>
        </is>
      </c>
      <c r="P96" s="6" t="n"/>
      <c r="Q96" s="5" t="inlineStr"/>
    </row>
  </sheetData>
  <autoFilter ref="A4:Q96"/>
  <conditionalFormatting sqref="J5:J96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6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6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6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6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COUNTIF(Matriz!$F$5:$F$96,"*F1*")</f>
        <v/>
      </c>
      <c r="C5" s="7">
        <f>COUNTIFS(Matriz!$F$5:$F$96,"*F1*",Matriz!$J$5:$J$96,"Cumple")</f>
        <v/>
      </c>
      <c r="D5" s="7">
        <f>COUNTIFS(Matriz!$F$5:$F$96,"*F1*",Matriz!$J$5:$J$96,"Cumple parcialmente")</f>
        <v/>
      </c>
      <c r="E5" s="7">
        <f>COUNTIFS(Matriz!$F$5:$F$96,"*F1*",Matriz!$J$5:$J$96,"No cumple")</f>
        <v/>
      </c>
      <c r="F5" s="7">
        <f>COUNTIFS(Matriz!$F$5:$F$96,"*F1*",Matriz!$J$5:$J$96,"No aplica")</f>
        <v/>
      </c>
      <c r="G5" s="8">
        <f>IFERROR(C5/B5,0)</f>
        <v/>
      </c>
      <c r="H5" s="7">
        <f>COUNTIFS(Matriz!$F$5:$F$96,"*F1*",Matriz!$M$5:$M$96,"Verificado")</f>
        <v/>
      </c>
      <c r="I5" s="7">
        <f>COUNTIFS(Matriz!$F$5:$F$96,"*F1*",Matriz!$M$5:$M$96,"Verificado parcialmente")</f>
        <v/>
      </c>
    </row>
    <row r="6">
      <c r="A6" s="7" t="inlineStr">
        <is>
          <t>F2 · Sonido propio y archivo autónomo</t>
        </is>
      </c>
      <c r="B6" s="7">
        <f>COUNTIF(Matriz!$F$5:$F$96,"*F2*")</f>
        <v/>
      </c>
      <c r="C6" s="7">
        <f>COUNTIFS(Matriz!$F$5:$F$96,"*F2*",Matriz!$J$5:$J$96,"Cumple")</f>
        <v/>
      </c>
      <c r="D6" s="7">
        <f>COUNTIFS(Matriz!$F$5:$F$96,"*F2*",Matriz!$J$5:$J$96,"Cumple parcialmente")</f>
        <v/>
      </c>
      <c r="E6" s="7">
        <f>COUNTIFS(Matriz!$F$5:$F$96,"*F2*",Matriz!$J$5:$J$96,"No cumple")</f>
        <v/>
      </c>
      <c r="F6" s="7">
        <f>COUNTIFS(Matriz!$F$5:$F$96,"*F2*",Matriz!$J$5:$J$96,"No aplica")</f>
        <v/>
      </c>
      <c r="G6" s="8">
        <f>IFERROR(C6/B6,0)</f>
        <v/>
      </c>
      <c r="H6" s="7">
        <f>COUNTIFS(Matriz!$F$5:$F$96,"*F2*",Matriz!$M$5:$M$96,"Verificado")</f>
        <v/>
      </c>
      <c r="I6" s="7">
        <f>COUNTIFS(Matriz!$F$5:$F$96,"*F2*",Matriz!$M$5:$M$96,"Verificado parcialmente")</f>
        <v/>
      </c>
    </row>
    <row r="7">
      <c r="A7" s="7" t="inlineStr">
        <is>
          <t>F3 · Interfaz y adaptación</t>
        </is>
      </c>
      <c r="B7" s="7">
        <f>COUNTIF(Matriz!$F$5:$F$96,"*F3*")</f>
        <v/>
      </c>
      <c r="C7" s="7">
        <f>COUNTIFS(Matriz!$F$5:$F$96,"*F3*",Matriz!$J$5:$J$96,"Cumple")</f>
        <v/>
      </c>
      <c r="D7" s="7">
        <f>COUNTIFS(Matriz!$F$5:$F$96,"*F3*",Matriz!$J$5:$J$96,"Cumple parcialmente")</f>
        <v/>
      </c>
      <c r="E7" s="7">
        <f>COUNTIFS(Matriz!$F$5:$F$96,"*F3*",Matriz!$J$5:$J$96,"No cumple")</f>
        <v/>
      </c>
      <c r="F7" s="7">
        <f>COUNTIFS(Matriz!$F$5:$F$96,"*F3*",Matriz!$J$5:$J$96,"No aplica")</f>
        <v/>
      </c>
      <c r="G7" s="8">
        <f>IFERROR(C7/B7,0)</f>
        <v/>
      </c>
      <c r="H7" s="7">
        <f>COUNTIFS(Matriz!$F$5:$F$96,"*F3*",Matriz!$M$5:$M$96,"Verificado")</f>
        <v/>
      </c>
      <c r="I7" s="7">
        <f>COUNTIFS(Matriz!$F$5:$F$96,"*F3*",Matriz!$M$5:$M$96,"Verificado parcialmente")</f>
        <v/>
      </c>
    </row>
    <row r="8">
      <c r="A8" s="7" t="inlineStr">
        <is>
          <t>F4 · Afinador por micrófono</t>
        </is>
      </c>
      <c r="B8" s="7">
        <f>COUNTIF(Matriz!$F$5:$F$96,"*F4*")</f>
        <v/>
      </c>
      <c r="C8" s="7">
        <f>COUNTIFS(Matriz!$F$5:$F$96,"*F4*",Matriz!$J$5:$J$96,"Cumple")</f>
        <v/>
      </c>
      <c r="D8" s="7">
        <f>COUNTIFS(Matriz!$F$5:$F$96,"*F4*",Matriz!$J$5:$J$96,"Cumple parcialmente")</f>
        <v/>
      </c>
      <c r="E8" s="7">
        <f>COUNTIFS(Matriz!$F$5:$F$96,"*F4*",Matriz!$J$5:$J$96,"No cumple")</f>
        <v/>
      </c>
      <c r="F8" s="7">
        <f>COUNTIFS(Matriz!$F$5:$F$96,"*F4*",Matriz!$J$5:$J$96,"No aplica")</f>
        <v/>
      </c>
      <c r="G8" s="8">
        <f>IFERROR(C8/B8,0)</f>
        <v/>
      </c>
      <c r="H8" s="7">
        <f>COUNTIFS(Matriz!$F$5:$F$96,"*F4*",Matriz!$M$5:$M$96,"Verificado")</f>
        <v/>
      </c>
      <c r="I8" s="7">
        <f>COUNTIFS(Matriz!$F$5:$F$96,"*F4*",Matriz!$M$5:$M$96,"Verificado parcialmente")</f>
        <v/>
      </c>
    </row>
    <row r="9">
      <c r="A9" s="7" t="inlineStr">
        <is>
          <t>F5 · Escalas</t>
        </is>
      </c>
      <c r="B9" s="7">
        <f>COUNTIF(Matriz!$F$5:$F$96,"*F5*")</f>
        <v/>
      </c>
      <c r="C9" s="7">
        <f>COUNTIFS(Matriz!$F$5:$F$96,"*F5*",Matriz!$J$5:$J$96,"Cumple")</f>
        <v/>
      </c>
      <c r="D9" s="7">
        <f>COUNTIFS(Matriz!$F$5:$F$96,"*F5*",Matriz!$J$5:$J$96,"Cumple parcialmente")</f>
        <v/>
      </c>
      <c r="E9" s="7">
        <f>COUNTIFS(Matriz!$F$5:$F$96,"*F5*",Matriz!$J$5:$J$96,"No cumple")</f>
        <v/>
      </c>
      <c r="F9" s="7">
        <f>COUNTIFS(Matriz!$F$5:$F$96,"*F5*",Matriz!$J$5:$J$96,"No aplica")</f>
        <v/>
      </c>
      <c r="G9" s="8">
        <f>IFERROR(C9/B9,0)</f>
        <v/>
      </c>
      <c r="H9" s="7">
        <f>COUNTIFS(Matriz!$F$5:$F$96,"*F5*",Matriz!$M$5:$M$96,"Verificado")</f>
        <v/>
      </c>
      <c r="I9" s="7">
        <f>COUNTIFS(Matriz!$F$5:$F$96,"*F5*",Matriz!$M$5:$M$96,"Verificado parcialmente")</f>
        <v/>
      </c>
    </row>
    <row r="10">
      <c r="A10" s="7" t="inlineStr">
        <is>
          <t>F6 · Preparación para distribución</t>
        </is>
      </c>
      <c r="B10" s="7">
        <f>COUNTIF(Matriz!$F$5:$F$96,"*F6*")</f>
        <v/>
      </c>
      <c r="C10" s="7">
        <f>COUNTIFS(Matriz!$F$5:$F$96,"*F6*",Matriz!$J$5:$J$96,"Cumple")</f>
        <v/>
      </c>
      <c r="D10" s="7">
        <f>COUNTIFS(Matriz!$F$5:$F$96,"*F6*",Matriz!$J$5:$J$96,"Cumple parcialmente")</f>
        <v/>
      </c>
      <c r="E10" s="7">
        <f>COUNTIFS(Matriz!$F$5:$F$96,"*F6*",Matriz!$J$5:$J$96,"No cumple")</f>
        <v/>
      </c>
      <c r="F10" s="7">
        <f>COUNTIFS(Matriz!$F$5:$F$96,"*F6*",Matriz!$J$5:$J$96,"No aplica")</f>
        <v/>
      </c>
      <c r="G10" s="8">
        <f>IFERROR(C10/B10,0)</f>
        <v/>
      </c>
      <c r="H10" s="7">
        <f>COUNTIFS(Matriz!$F$5:$F$96,"*F6*",Matriz!$M$5:$M$96,"Verificado")</f>
        <v/>
      </c>
      <c r="I10" s="7">
        <f>COUNTIFS(Matriz!$F$5:$F$96,"*F6*",Matriz!$M$5:$M$96,"Verificado parcialmente")</f>
        <v/>
      </c>
    </row>
    <row r="11">
      <c r="A11" s="7" t="inlineStr">
        <is>
          <t>F7 · Publicación y lanzamiento</t>
        </is>
      </c>
      <c r="B11" s="7">
        <f>COUNTIF(Matriz!$F$5:$F$96,"*F7*")</f>
        <v/>
      </c>
      <c r="C11" s="7">
        <f>COUNTIFS(Matriz!$F$5:$F$96,"*F7*",Matriz!$J$5:$J$96,"Cumple")</f>
        <v/>
      </c>
      <c r="D11" s="7">
        <f>COUNTIFS(Matriz!$F$5:$F$96,"*F7*",Matriz!$J$5:$J$96,"Cumple parcialmente")</f>
        <v/>
      </c>
      <c r="E11" s="7">
        <f>COUNTIFS(Matriz!$F$5:$F$96,"*F7*",Matriz!$J$5:$J$96,"No cumple")</f>
        <v/>
      </c>
      <c r="F11" s="7">
        <f>COUNTIFS(Matriz!$F$5:$F$96,"*F7*",Matriz!$J$5:$J$96,"No aplica")</f>
        <v/>
      </c>
      <c r="G11" s="8">
        <f>IFERROR(C11/B11,0)</f>
        <v/>
      </c>
      <c r="H11" s="7">
        <f>COUNTIFS(Matriz!$F$5:$F$96,"*F7*",Matriz!$M$5:$M$96,"Verificado")</f>
        <v/>
      </c>
      <c r="I11" s="7">
        <f>COUNTIFS(Matriz!$F$5:$F$96,"*F7*",Matriz!$M$5:$M$96,"Verificado parcialmente")</f>
        <v/>
      </c>
    </row>
    <row r="12">
      <c r="A12" s="7" t="inlineStr">
        <is>
          <t>Posterior · fuera de alcance</t>
        </is>
      </c>
      <c r="B12" s="7">
        <f>COUNTIF(Matriz!$F$5:$F$96,"*Posterior*")</f>
        <v/>
      </c>
      <c r="C12" s="7">
        <f>COUNTIFS(Matriz!$F$5:$F$96,"*Posterior*",Matriz!$J$5:$J$96,"Cumple")</f>
        <v/>
      </c>
      <c r="D12" s="7">
        <f>COUNTIFS(Matriz!$F$5:$F$96,"*Posterior*",Matriz!$J$5:$J$96,"Cumple parcialmente")</f>
        <v/>
      </c>
      <c r="E12" s="7">
        <f>COUNTIFS(Matriz!$F$5:$F$96,"*Posterior*",Matriz!$J$5:$J$96,"No cumple")</f>
        <v/>
      </c>
      <c r="F12" s="7">
        <f>COUNTIFS(Matriz!$F$5:$F$96,"*Posterior*",Matriz!$J$5:$J$96,"No aplica")</f>
        <v/>
      </c>
      <c r="G12" s="8">
        <f>IFERROR(C12/B12,0)</f>
        <v/>
      </c>
      <c r="H12" s="7">
        <f>COUNTIFS(Matriz!$F$5:$F$96,"*Posterior*",Matriz!$M$5:$M$96,"Verificado")</f>
        <v/>
      </c>
      <c r="I12" s="7">
        <f>COUNTIFS(Matriz!$F$5:$F$96,"*Posterior*",Matriz!$M$5:$M$96,"Verificado parcialmente")</f>
        <v/>
      </c>
    </row>
    <row r="13">
      <c r="A13" s="9" t="inlineStr">
        <is>
          <t>Total del producto</t>
        </is>
      </c>
      <c r="B13" s="9">
        <f>COUNTA(Matriz!$A$5:$A$96)</f>
        <v/>
      </c>
      <c r="C13" s="9">
        <f>COUNTIF(Matriz!$J$5:$J$96,"Cumple")</f>
        <v/>
      </c>
      <c r="D13" s="9">
        <f>COUNTIF(Matriz!$J$5:$J$96,"Cumple parcialmente")</f>
        <v/>
      </c>
      <c r="E13" s="9">
        <f>COUNTIF(Matriz!$J$5:$J$96,"No cumple")</f>
        <v/>
      </c>
      <c r="F13" s="9">
        <f>COUNTIF(Matriz!$J$5:$J$96,"No aplica")</f>
        <v/>
      </c>
      <c r="G13" s="10">
        <f>IFERROR(C13/B13,0)</f>
        <v/>
      </c>
      <c r="H13" s="9">
        <f>COUNTIF(Matriz!$M$5:$M$96,"Verificado")</f>
        <v/>
      </c>
      <c r="I13" s="9">
        <f>COUNTIF(Matriz!$M$5:$M$96,"Verificado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COUNTIF(Matriz!$H$5:$H$96,"I")</f>
        <v/>
      </c>
    </row>
    <row r="17">
      <c r="A17" s="12" t="inlineStr">
        <is>
          <t>A · Análisis</t>
        </is>
      </c>
      <c r="B17" s="12">
        <f>COUNTIF(Matriz!$H$5:$H$96,"A")</f>
        <v/>
      </c>
    </row>
    <row r="18">
      <c r="A18" s="12" t="inlineStr">
        <is>
          <t>D · Demostración</t>
        </is>
      </c>
      <c r="B18" s="12">
        <f>COUNTIF(Matriz!$H$5:$H$96,"D")</f>
        <v/>
      </c>
    </row>
    <row r="19">
      <c r="A19" s="12" t="inlineStr">
        <is>
          <t>T · Prueba</t>
        </is>
      </c>
      <c r="B19" s="12">
        <f>COUNTIF(Matriz!$H$5:$H$96,"T")</f>
        <v/>
      </c>
    </row>
    <row r="20">
      <c r="A20" s="12" t="inlineStr">
        <is>
          <t>I+T · Inspección y prueba</t>
        </is>
      </c>
      <c r="B20" s="12">
        <f>COUNTIF(Matriz!$H$5:$H$96,"I+T")</f>
        <v/>
      </c>
    </row>
    <row r="21">
      <c r="A21" s="12" t="inlineStr">
        <is>
          <t>N/A · No aplica</t>
        </is>
      </c>
      <c r="B21" s="12">
        <f>COUNTIF(Matriz!$H$5:$H$96,"N/A")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1.7</t>
        </is>
      </c>
      <c r="B2" s="14" t="inlineStr">
        <is>
          <t>20/10/2026</t>
        </is>
      </c>
      <c r="C2" s="14" t="inlineStr">
        <is>
          <t>v1.9</t>
        </is>
      </c>
      <c r="D2" s="14" t="inlineStr">
        <is>
          <t>0.2.3</t>
        </is>
      </c>
      <c r="E2" s="14" t="inlineStr">
        <is>
          <t>Evidencia de S-07: licencia de nylon comprobada en tres sonidos. Criterios sin cambios.</t>
        </is>
      </c>
    </row>
    <row r="3" ht="46" customHeight="1">
      <c r="A3" s="14" t="inlineStr">
        <is>
          <t>1.6</t>
        </is>
      </c>
      <c r="B3" s="14" t="inlineStr">
        <is>
          <t>19/10/2026</t>
        </is>
      </c>
      <c r="C3" s="14" t="inlineStr">
        <is>
          <t>v1.8</t>
        </is>
      </c>
      <c r="D3" s="14" t="inlineStr">
        <is>
          <t>0.2.3</t>
        </is>
      </c>
      <c r="E3" s="14" t="inlineStr">
        <is>
          <t>CP-2: criterio de G-07 con los límites revisados y solo Windows y Android; X-01 cumple; evidencia de S-01 con la escucha del cliente (V-05).</t>
        </is>
      </c>
    </row>
    <row r="4" ht="46" customHeight="1">
      <c r="A4" s="14" t="inlineStr">
        <is>
          <t>1.5</t>
        </is>
      </c>
      <c r="B4" s="14" t="inlineStr">
        <is>
          <t>19/10/2026</t>
        </is>
      </c>
      <c r="C4" s="14" t="inlineStr">
        <is>
          <t>v1.7</t>
        </is>
      </c>
      <c r="D4" s="14" t="inlineStr">
        <is>
          <t>0.2.2</t>
        </is>
      </c>
      <c r="E4" s="14" t="inlineStr">
        <is>
          <t>Criterio de S-08 según su nueva redacción: nota resultante a ±5 cents tras la corrección.</t>
        </is>
      </c>
    </row>
    <row r="5" ht="46" customHeight="1">
      <c r="A5" s="14" t="inlineStr">
        <is>
          <t>1.4</t>
        </is>
      </c>
      <c r="B5" s="14" t="inlineStr">
        <is>
          <t>19/10/2026</t>
        </is>
      </c>
      <c r="C5" s="14" t="inlineStr">
        <is>
          <t>v1.6</t>
        </is>
      </c>
      <c r="D5" s="14" t="inlineStr">
        <is>
          <t>0.2.1</t>
        </is>
      </c>
      <c r="E5" s="14" t="inlineStr">
        <is>
          <t>G-07 y G-08 verificados parcialmente con el archivo autónomo (V-03 y banco); falta la prueba en cada plataforma (F2.5).</t>
        </is>
      </c>
    </row>
    <row r="6" ht="46" customHeight="1">
      <c r="A6" s="14" t="inlineStr">
        <is>
          <t>1.3</t>
        </is>
      </c>
      <c r="B6" s="14" t="inlineStr">
        <is>
          <t>19/10/2026</t>
        </is>
      </c>
      <c r="C6" s="14" t="inlineStr">
        <is>
          <t>v1.5</t>
        </is>
      </c>
      <c r="D6" s="14" t="inlineStr">
        <is>
          <t>0.2.0</t>
        </is>
      </c>
      <c r="E6" s="14" t="inlineStr">
        <is>
          <t>S-08 verificado: la app usa sus grabaciones medidas (F2.2). Evidencias nuevas en S-01, S-07 y S-08: banco con todas las notas y grabación en el navegador (V-02).</t>
        </is>
      </c>
    </row>
    <row r="7" ht="46" customHeight="1">
      <c r="A7" s="14" t="inlineStr">
        <is>
          <t>1.2</t>
        </is>
      </c>
      <c r="B7" s="14" t="inlineStr">
        <is>
          <t>15/10/2026</t>
        </is>
      </c>
      <c r="C7" s="14" t="inlineStr">
        <is>
          <t>v1.4</t>
        </is>
      </c>
      <c r="D7" s="14" t="inlineStr">
        <is>
          <t>0.1.4</t>
        </is>
      </c>
      <c r="E7" s="14" t="inlineStr">
        <is>
          <t>Nuevo PL-04: adaptabilidad entre sistemas, con docs/compatibilidad.md como evidencia. PL-02 sin Android de pruebas por ahora; X-02 con despliegue de pruebas previo.</t>
        </is>
      </c>
    </row>
    <row r="8" ht="46" customHeight="1">
      <c r="A8" s="14" t="inlineStr">
        <is>
          <t>1.1</t>
        </is>
      </c>
      <c r="B8" s="14" t="inlineStr">
        <is>
          <t>15/10/2026</t>
        </is>
      </c>
      <c r="C8" s="14" t="inlineStr">
        <is>
          <t>v1.3</t>
        </is>
      </c>
      <c r="D8" s="14" t="inlineStr">
        <is>
          <t>0.1.4</t>
        </is>
      </c>
      <c r="E8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9" ht="46" customHeight="1">
      <c r="A9" s="14" t="inlineStr">
        <is>
          <t>1.0</t>
        </is>
      </c>
      <c r="B9" s="14" t="inlineStr">
        <is>
          <t>14/10/2026</t>
        </is>
      </c>
      <c r="C9" s="14" t="inlineStr">
        <is>
          <t>v1.2</t>
        </is>
      </c>
      <c r="D9" s="14" t="inlineStr">
        <is>
          <t>0.1.2</t>
        </is>
      </c>
      <c r="E9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2026-10-20T08:16:20Z</dcterms:created>
  <dcterms:modified xmlns:dcterms="http://purl.org/dc/terms/" xmlns:xsi="http://www.w3.org/2001/XMLSchema-instance" xsi:type="dcterms:W3CDTF">2026-10-20T08:16:20Z</dcterms:modified>
</cp:coreProperties>
</file>