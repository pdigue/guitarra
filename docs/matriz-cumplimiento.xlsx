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Leyenda" sheetId="3" state="visible" r:id="rId3"/>
    <sheet xmlns:r="http://schemas.openxmlformats.org/officeDocument/2006/relationships" name="Control de cambios" sheetId="4" state="visible" r:id="rId4"/>
  </sheets>
  <definedNames>
    <definedName name="_xlnm._FilterDatabase" localSheetId="0" hidden="1">'Matriz'!$A$4:$Q$97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2A1D13"/>
      <sz val="14"/>
    </font>
    <font>
      <name val="Arial"/>
      <color rgb="006A5947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A1D13"/>
      </patternFill>
    </fill>
    <fill>
      <patternFill patternType="solid">
        <fgColor rgb="00FFF7CC"/>
      </patternFill>
    </fill>
    <fill>
      <patternFill patternType="solid">
        <fgColor rgb="00F3D9B5"/>
      </patternFill>
    </fill>
  </fills>
  <borders count="2">
    <border>
      <left/>
      <right/>
      <top/>
      <bottom/>
      <diagonal/>
    </border>
    <border>
      <right style="thin">
        <color rgb="00D9CFC0"/>
      </right>
      <bottom style="thin">
        <color rgb="00D9CFC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1" pivotButton="0" quotePrefix="0" xfId="0"/>
    <xf numFmtId="9" fontId="6" fillId="0" borderId="1" pivotButton="0" quotePrefix="0" xfId="0"/>
    <xf numFmtId="0" fontId="7" fillId="4" borderId="1" pivotButton="0" quotePrefix="0" xfId="0"/>
    <xf numFmtId="9" fontId="7" fillId="4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6EFDF"/>
          <bgColor rgb="00D6EFDF"/>
        </patternFill>
      </fill>
    </dxf>
    <dxf>
      <fill>
        <patternFill patternType="solid">
          <fgColor rgb="00F8E7C2"/>
          <bgColor rgb="00F8E7C2"/>
        </patternFill>
      </fill>
    </dxf>
    <dxf>
      <fill>
        <patternFill patternType="solid">
          <fgColor rgb="00EDE7E1"/>
          <bgColor rgb="00EDE7E1"/>
        </patternFill>
      </fill>
    </dxf>
    <dxf>
      <fill>
        <patternFill patternType="solid">
          <fgColor rgb="00E3E8EE"/>
          <bgColor rgb="00E3E8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46" customWidth="1" min="3" max="3"/>
    <col width="10" customWidth="1" min="4" max="4"/>
    <col width="18" customWidth="1" min="5" max="5"/>
    <col width="9" customWidth="1" min="6" max="6"/>
    <col width="13" customWidth="1" min="7" max="7"/>
    <col width="9" customWidth="1" min="8" max="8"/>
    <col width="48" customWidth="1" min="9" max="9"/>
    <col width="20" customWidth="1" min="10" max="10"/>
    <col width="10" customWidth="1" min="11" max="11"/>
    <col width="34" customWidth="1" min="12" max="12"/>
    <col width="21" customWidth="1" min="13" max="13"/>
    <col width="20" customWidth="1" min="14" max="14"/>
    <col width="44" customWidth="1" min="15" max="15"/>
    <col width="32" customWidth="1" min="16" max="16"/>
    <col width="12" customWidth="1" min="17" max="17"/>
  </cols>
  <sheetData>
    <row r="1">
      <c r="A1" s="1" t="inlineStr">
        <is>
          <t>Trasteando — Matriz de cumplimiento de requisitos</t>
        </is>
      </c>
    </row>
    <row r="2">
      <c r="A2" s="2" t="inlineStr">
        <is>
          <t>Versión 1.9. Base: requisitos.md v1.11 · app 0.2.3 · roadmap 3.9 · emitida el 15/10/2026. Cliente: Pablo Díaz Guerra. Proveedor: chat de Desarrollo. Verificación independiente: auditores de requisitos y técnico.</t>
        </is>
      </c>
    </row>
    <row r="4" ht="30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Requisito</t>
        </is>
      </c>
      <c r="D4" s="3" t="inlineStr">
        <is>
          <t>Prioridad</t>
        </is>
      </c>
      <c r="E4" s="3" t="inlineStr">
        <is>
          <t>Origen</t>
        </is>
      </c>
      <c r="F4" s="3" t="inlineStr">
        <is>
          <t>Fase</t>
        </is>
      </c>
      <c r="G4" s="3" t="inlineStr">
        <is>
          <t>Etapa</t>
        </is>
      </c>
      <c r="H4" s="3" t="inlineStr">
        <is>
          <t>Método</t>
        </is>
      </c>
      <c r="I4" s="3" t="inlineStr">
        <is>
          <t>Criterio de aceptación</t>
        </is>
      </c>
      <c r="J4" s="3" t="inlineStr">
        <is>
          <t>Declaración del proveedor</t>
        </is>
      </c>
      <c r="K4" s="3" t="inlineStr">
        <is>
          <t>Desde versión</t>
        </is>
      </c>
      <c r="L4" s="3" t="inlineStr">
        <is>
          <t>Evidencia</t>
        </is>
      </c>
      <c r="M4" s="3" t="inlineStr">
        <is>
          <t>Estado de verificación</t>
        </is>
      </c>
      <c r="N4" s="3" t="inlineStr">
        <is>
          <t>Verifica</t>
        </is>
      </c>
      <c r="O4" s="3" t="inlineStr">
        <is>
          <t>Comentario del proveedor</t>
        </is>
      </c>
      <c r="P4" s="3" t="inlineStr">
        <is>
          <t>Comentario del cliente</t>
        </is>
      </c>
      <c r="Q4" s="3" t="inlineStr">
        <is>
          <t>Cambio en v1.11</t>
        </is>
      </c>
    </row>
    <row r="5" ht="48" customHeight="1">
      <c r="A5" s="4" t="inlineStr">
        <is>
          <t>G-01</t>
        </is>
      </c>
      <c r="B5" s="5" t="inlineStr">
        <is>
          <t>Requisitos generales y de producto</t>
        </is>
      </c>
      <c r="C5" s="5" t="inlineStr">
        <is>
          <t>La aplicación se llama Trasteando. El nombre aparece en la pantalla de entrada, el título de la pestaña y el manifiesto PWA.</t>
        </is>
      </c>
      <c r="D5" s="5" t="inlineStr">
        <is>
          <t>Alta</t>
        </is>
      </c>
      <c r="E5" s="5" t="inlineStr">
        <is>
          <t>Cliente · listado 14/09</t>
        </is>
      </c>
      <c r="F5" s="5" t="inlineStr">
        <is>
          <t>F1</t>
        </is>
      </c>
      <c r="G5" s="5" t="inlineStr">
        <is>
          <t>F1.1</t>
        </is>
      </c>
      <c r="H5" s="5" t="inlineStr">
        <is>
          <t>I</t>
        </is>
      </c>
      <c r="I5" s="5" t="inlineStr">
        <is>
          <t>El nombre «Trasteando» aparece en la pantalla de entrada, en la pestaña del navegador y en el manifiesto.</t>
        </is>
      </c>
      <c r="J5" s="5" t="inlineStr">
        <is>
          <t>Cumple</t>
        </is>
      </c>
      <c r="K5" s="5" t="inlineStr">
        <is>
          <t>0.1.0</t>
        </is>
      </c>
      <c r="L5" s="5" t="inlineStr">
        <is>
          <t>F1.1 #14</t>
        </is>
      </c>
      <c r="M5" s="5" t="inlineStr">
        <is>
          <t>Pendiente</t>
        </is>
      </c>
      <c r="N5" s="5" t="inlineStr">
        <is>
          <t>Auditor de requisitos</t>
        </is>
      </c>
      <c r="O5" s="5" t="inlineStr">
        <is>
          <t>Naming cerrado: se descarta Trasting.</t>
        </is>
      </c>
      <c r="P5" s="6" t="n"/>
      <c r="Q5" s="5" t="inlineStr"/>
    </row>
    <row r="6" ht="48" customHeight="1">
      <c r="A6" s="4" t="inlineStr">
        <is>
          <t>G-02</t>
        </is>
      </c>
      <c r="B6" s="5" t="inlineStr">
        <is>
          <t>Requisitos generales y de producto</t>
        </is>
      </c>
      <c r="C6" s="5" t="inlineStr">
        <is>
          <t>La app se organiza en áreas accesibles desde una navegación principal: Libre, Adivinar, Afinador y Escalas.</t>
        </is>
      </c>
      <c r="D6" s="5" t="inlineStr">
        <is>
          <t>Alta</t>
        </is>
      </c>
      <c r="E6" s="5" t="inlineStr">
        <is>
          <t>Cliente · listado 14/09</t>
        </is>
      </c>
      <c r="F6" s="5" t="inlineStr">
        <is>
          <t>F1</t>
        </is>
      </c>
      <c r="G6" s="5" t="inlineStr">
        <is>
          <t>F1.1</t>
        </is>
      </c>
      <c r="H6" s="5" t="inlineStr">
        <is>
          <t>D</t>
        </is>
      </c>
      <c r="I6" s="5" t="inlineStr">
        <is>
          <t>La barra inferior muestra Libre, Adivinar, Afinador y Escalas; cada destino activo abre su vista y Escalas aparece deshabilitada.</t>
        </is>
      </c>
      <c r="J6" s="5" t="inlineStr">
        <is>
          <t>Cumple</t>
        </is>
      </c>
      <c r="K6" s="5" t="inlineStr">
        <is>
          <t>0.1.0</t>
        </is>
      </c>
      <c r="L6" s="5" t="inlineStr">
        <is>
          <t>F1.1 #1 y #14</t>
        </is>
      </c>
      <c r="M6" s="5" t="inlineStr">
        <is>
          <t>Pendiente</t>
        </is>
      </c>
      <c r="N6" s="5" t="inlineStr">
        <is>
          <t>Cliente</t>
        </is>
      </c>
      <c r="O6" s="5" t="inlineStr">
        <is>
          <t>Escalas visible pero deshabilitada hasta F5.</t>
        </is>
      </c>
      <c r="P6" s="6" t="n"/>
      <c r="Q6" s="5" t="inlineStr"/>
    </row>
    <row r="7" ht="108" customHeight="1">
      <c r="A7" s="4" t="inlineStr">
        <is>
          <t>G-03</t>
        </is>
      </c>
      <c r="B7" s="5" t="inlineStr">
        <is>
          <t>Requisitos generales y de producto</t>
        </is>
      </c>
      <c r="C7" s="5" t="inlineStr">
        <is>
          <t>La app funciona sin conexión una vez cargada desde la web.</t>
        </is>
      </c>
      <c r="D7" s="5" t="inlineStr">
        <is>
          <t>Media</t>
        </is>
      </c>
      <c r="E7" s="5" t="inlineStr">
        <is>
          <t>Cliente · listado 14/09</t>
        </is>
      </c>
      <c r="F7" s="5" t="inlineStr">
        <is>
          <t>F6 · F7</t>
        </is>
      </c>
      <c r="G7" s="5" t="inlineStr">
        <is>
          <t>F6.2 · F7.2</t>
        </is>
      </c>
      <c r="H7" s="5" t="inlineStr">
        <is>
          <t>T</t>
        </is>
      </c>
      <c r="I7" s="5" t="inlineStr">
        <is>
          <t>F6.2: tras una primera carga en localhost y sin red, la app abre y suena. F7.2: lo mismo desde la web publicada.</t>
        </is>
      </c>
      <c r="J7" s="5" t="inlineStr">
        <is>
          <t>No cumple</t>
        </is>
      </c>
      <c r="K7" s="5" t="inlineStr">
        <is>
          <t>—</t>
        </is>
      </c>
      <c r="L7" s="5" t="inlineStr">
        <is>
          <t>—</t>
        </is>
      </c>
      <c r="M7" s="5" t="inlineStr">
        <is>
          <t>Pendiente</t>
        </is>
      </c>
      <c r="N7" s="5" t="inlineStr">
        <is>
          <t>Banco automático + auditor técnico</t>
        </is>
      </c>
      <c r="O7" s="5" t="inlineStr">
        <is>
          <t>Service Worker en F6.2, decidido el 20/10: en la Sesión 1 el iPhone no prueba la app sin conexión. Depende de S-07. Se valida en dos pasos: en localhost en F6.2 y desde la web publicada en F7.2 (CP-1). En modo archivo (G-07) la autonomía se consigue de otra forma: el audio va dentro del archivo.</t>
        </is>
      </c>
      <c r="P7" s="6" t="n"/>
      <c r="Q7" s="5" t="inlineStr"/>
    </row>
    <row r="8" ht="78" customHeight="1">
      <c r="A8" s="4" t="inlineStr">
        <is>
          <t>G-04</t>
        </is>
      </c>
      <c r="B8" s="5" t="inlineStr">
        <is>
          <t>Requisitos generales y de producto</t>
        </is>
      </c>
      <c r="C8" s="5" t="inlineStr">
        <is>
          <t>La app es instalable como PWA (icono en la pantalla de inicio, pantalla completa).</t>
        </is>
      </c>
      <c r="D8" s="5" t="inlineStr">
        <is>
          <t>Alta</t>
        </is>
      </c>
      <c r="E8" s="5" t="inlineStr">
        <is>
          <t>Cliente · listado 14/09</t>
        </is>
      </c>
      <c r="F8" s="5" t="inlineStr">
        <is>
          <t>F6 · F7</t>
        </is>
      </c>
      <c r="G8" s="5" t="inlineStr">
        <is>
          <t>F6.3 · F7.2</t>
        </is>
      </c>
      <c r="H8" s="5" t="inlineStr">
        <is>
          <t>D</t>
        </is>
      </c>
      <c r="I8" s="5" t="inlineStr">
        <is>
          <t>Desde la web publicada, el navegador ofrece instalarla y abre a pantalla completa desde el icono.</t>
        </is>
      </c>
      <c r="J8" s="5" t="inlineStr">
        <is>
          <t>Cumple parcialmente</t>
        </is>
      </c>
      <c r="K8" s="5" t="inlineStr">
        <is>
          <t>0.1.0</t>
        </is>
      </c>
      <c r="L8" s="5" t="inlineStr">
        <is>
          <t>—</t>
        </is>
      </c>
      <c r="M8" s="5" t="inlineStr">
        <is>
          <t>Pendiente</t>
        </is>
      </c>
      <c r="N8" s="5" t="inlineStr">
        <is>
          <t>Cliente</t>
        </is>
      </c>
      <c r="O8" s="5" t="inlineStr">
        <is>
          <t>Manifiesto incrustado como data: URL. Falta un archivo de manifiesto propio con iconos PNG (F6.3) y verificarla instalada desde la web publicada (F7.2): instalar solo es posible desde https.</t>
        </is>
      </c>
      <c r="P8" s="6" t="n"/>
      <c r="Q8" s="5" t="inlineStr"/>
    </row>
    <row r="9" ht="120" customHeight="1">
      <c r="A9" s="4" t="inlineStr">
        <is>
          <t>G-05</t>
        </is>
      </c>
      <c r="B9" s="5" t="inlineStr">
        <is>
          <t>Requisitos generales y de producto</t>
        </is>
      </c>
      <c r="C9" s="5" t="inlineStr">
        <is>
          <t>La interfaz cumple unos mínimos de accesibilidad: foco de teclado visible, respeto a prefers-reduced-motion, contraste suficiente y etiquetas accesibles en los controles solo-icono.</t>
        </is>
      </c>
      <c r="D9" s="5" t="inlineStr">
        <is>
          <t>Media</t>
        </is>
      </c>
      <c r="E9" s="5" t="inlineStr">
        <is>
          <t>Cliente · 20/10 (interfaz.md v1.0)</t>
        </is>
      </c>
      <c r="F9" s="5" t="inlineStr">
        <is>
          <t>F3</t>
        </is>
      </c>
      <c r="G9" s="5" t="inlineStr">
        <is>
          <t>F3.4</t>
        </is>
      </c>
      <c r="H9" s="5" t="inlineStr">
        <is>
          <t>I+T</t>
        </is>
      </c>
      <c r="I9" s="5" t="inlineStr">
        <is>
          <t>Todo control es alcanzable con teclado y muestra el foco; contrastes ≥ 4,5:1 medidos; el movimiento se reduce con prefers-reduced-motion; en pantallas táctiles, todo control y toda casilla del mástil mide al menos 40 × 40 px.</t>
        </is>
      </c>
      <c r="J9" s="5" t="inlineStr">
        <is>
          <t>Cumple parcialmente</t>
        </is>
      </c>
      <c r="K9" s="5" t="inlineStr">
        <is>
          <t>0.1.1</t>
        </is>
      </c>
      <c r="L9" s="5" t="inlineStr">
        <is>
          <t>—</t>
        </is>
      </c>
      <c r="M9" s="5" t="inlineStr">
        <is>
          <t>Pendiente</t>
        </is>
      </c>
      <c r="N9" s="5" t="inlineStr">
        <is>
          <t>Auditor técnico</t>
        </is>
      </c>
      <c r="O9" s="5" t="inlineStr">
        <is>
          <t>Hecho: foco visible, movimiento reducido, interruptores con role="switch" (0.1.1), aria-pressed en los selectores y aviso del reto para lectores de pantalla (0.1.2). Falta: recorrer el mástil con teclado y auditar el contraste. Añadido al criterio el 20/10 (interfaz.md v1.0, aprobada el 20/10): en pantallas táctiles, todo control y toda casilla del mástil mide al menos 40 × 40 px.</t>
        </is>
      </c>
      <c r="P9" s="6" t="n"/>
      <c r="Q9" s="5" t="inlineStr">
        <is>
          <t>Modificado</t>
        </is>
      </c>
    </row>
    <row r="10" ht="78" customHeight="1">
      <c r="A10" s="4" t="inlineStr">
        <is>
          <t>G-06</t>
        </is>
      </c>
      <c r="B10" s="5" t="inlineStr">
        <is>
          <t>Requisitos generales y de producto</t>
        </is>
      </c>
      <c r="C10" s="5" t="inlineStr">
        <is>
          <t>El proyecto documenta sus dependencias externas y la licencia de cada recurso de terceros que distribuye, y la app muestra los créditos.</t>
        </is>
      </c>
      <c r="D10" s="5" t="inlineStr">
        <is>
          <t>Media</t>
        </is>
      </c>
      <c r="E10" s="5" t="inlineStr">
        <is>
          <t>Desarrollo · v1.1</t>
        </is>
      </c>
      <c r="F10" s="5" t="inlineStr">
        <is>
          <t>F2 · F6</t>
        </is>
      </c>
      <c r="G10" s="5" t="inlineStr">
        <is>
          <t>F2.1 · F6.4</t>
        </is>
      </c>
      <c r="H10" s="5" t="inlineStr">
        <is>
          <t>I</t>
        </is>
      </c>
      <c r="I10" s="5" t="inlineStr">
        <is>
          <t>CREDITOS.md lista cada recurso de terceros con su origen y su licencia, y la app muestra el texto de atribución en Ajustes.</t>
        </is>
      </c>
      <c r="J10" s="5" t="inlineStr">
        <is>
          <t>Cumple parcialmente</t>
        </is>
      </c>
      <c r="K10" s="5" t="inlineStr">
        <is>
          <t>—</t>
        </is>
      </c>
      <c r="L10" s="5" t="inlineStr">
        <is>
          <t>CREDITOS.md (F2.1). Falta mostrarlo en la app (F6.4)</t>
        </is>
      </c>
      <c r="M10" s="5" t="inlineStr">
        <is>
          <t>Verificado parcialmente</t>
        </is>
      </c>
      <c r="N10" s="5" t="inlineStr">
        <is>
          <t>Auditor de requisitos</t>
        </is>
      </c>
      <c r="O10" s="5" t="inlineStr">
        <is>
          <t>CREDITOS.md (F2.1): origen, licencia, huella sha256 y texto de atribución de cada muestra de audio, y Tone.js (MIT). Falta mostrar los créditos dentro de la app y elegir la licencia del propio código (F6.4).</t>
        </is>
      </c>
      <c r="P10" s="6" t="n"/>
      <c r="Q10" s="5" t="inlineStr"/>
    </row>
    <row r="11" ht="120" customHeight="1">
      <c r="A11" s="4" t="inlineStr">
        <is>
          <t>G-07</t>
        </is>
      </c>
      <c r="B11" s="5" t="inlineStr">
        <is>
          <t>Requisitos generales y de producto</t>
        </is>
      </c>
      <c r="C11" s="5" t="inlineStr">
        <is>
          <t>Modo archivo autónomo en Windows y Android: la app funciona completa —salvo el afinador por micrófono— abriendo el archivo directamente (file://), sin servidor y sin conexión. En iPhone, donde no se pueden abrir páginas desde Archivos, la autonomía llega por G-03.</t>
        </is>
      </c>
      <c r="D11" s="5" t="inlineStr">
        <is>
          <t>Alta</t>
        </is>
      </c>
      <c r="E11" s="5" t="inlineStr">
        <is>
          <t>Cliente · 15/09</t>
        </is>
      </c>
      <c r="F11" s="5" t="inlineStr">
        <is>
          <t>F2</t>
        </is>
      </c>
      <c r="G11" s="5" t="inlineStr">
        <is>
          <t>F2.3 · F2.5</t>
        </is>
      </c>
      <c r="H11" s="5" t="inlineStr">
        <is>
          <t>T</t>
        </is>
      </c>
      <c r="I11" s="5" t="inlineStr">
        <is>
          <t>En Windows (y Android cuando lo haya), con el ordenador en modo avión, dist/trasteando.html abre con doble clic en ≤ 3 s, suenan las grabaciones y funcionan Libre, Adivinar y el afinador por referencia. Audio ≤ 1,45 MB y archivo ≤ 2 MB.</t>
        </is>
      </c>
      <c r="J11" s="5" t="inlineStr">
        <is>
          <t>Cumple</t>
        </is>
      </c>
      <c r="K11" s="5" t="inlineStr">
        <is>
          <t>0.2.1</t>
        </is>
      </c>
      <c r="L11" s="5" t="inlineStr">
        <is>
          <t>V-03 y V-04: desde disco y sin conexión en Chromium, abre en 0,3 s y suena a menos de 1 cent · Banco (node --test): autónomo al día, con su audio, huellas y límites</t>
        </is>
      </c>
      <c r="M11" s="5" t="inlineStr">
        <is>
          <t>Verificado parcialmente</t>
        </is>
      </c>
      <c r="N11" s="5" t="inlineStr">
        <is>
          <t>Banco automático + auditor técnico</t>
        </is>
      </c>
      <c r="O11" s="5" t="inlineStr">
        <is>
          <t>dist/trasteando.html: la app con sus 17 grabaciones dentro (1,46 MB). Límites revisados en CP-2: el audio no pasa de 1,45 MB, y bajar su calidad exige tu escucha; el archivo entero no pasa de 2 MB, para dejar sitio al código de F3 a F6. Lo que cuenta para ti es que abra en ≤ 3 s en Windows: en Chromium tarda 0,3 s, y en tu PC se mide en la Sesión 1 (F2.5). Redacción limitada a Windows y Android tras AR-03.</t>
        </is>
      </c>
      <c r="P11" s="6" t="n"/>
      <c r="Q11" s="5" t="inlineStr"/>
    </row>
    <row r="12" ht="120" customHeight="1">
      <c r="A12" s="4" t="inlineStr">
        <is>
          <t>G-08</t>
        </is>
      </c>
      <c r="B12" s="5" t="inlineStr">
        <is>
          <t>Requisitos generales y de producto</t>
        </is>
      </c>
      <c r="C12" s="5" t="inlineStr">
        <is>
          <t>El proyecto conserva dos formas de distribución equivalentes: el archivo autónomo (para llevárselo) y la web publicada (para instalarla como PWA).</t>
        </is>
      </c>
      <c r="D12" s="5" t="inlineStr">
        <is>
          <t>Media</t>
        </is>
      </c>
      <c r="E12" s="5" t="inlineStr">
        <is>
          <t>Cliente · 15/09</t>
        </is>
      </c>
      <c r="F12" s="5" t="inlineStr">
        <is>
          <t>F4 · F6</t>
        </is>
      </c>
      <c r="G12" s="5" t="inlineStr">
        <is>
          <t>F4.1 · F6.1</t>
        </is>
      </c>
      <c r="H12" s="5" t="inlineStr">
        <is>
          <t>T</t>
        </is>
      </c>
      <c r="I12" s="5" t="inlineStr">
        <is>
          <t>El archivo autónomo generado y la web publicada superan el mismo banco de pruebas.</t>
        </is>
      </c>
      <c r="J12" s="5" t="inlineStr">
        <is>
          <t>Cumple parcialmente</t>
        </is>
      </c>
      <c r="K12" s="5" t="inlineStr">
        <is>
          <t>0.1.0</t>
        </is>
      </c>
      <c r="L12" s="5" t="inlineStr">
        <is>
          <t>—</t>
        </is>
      </c>
      <c r="M12" s="5" t="inlineStr">
        <is>
          <t>Verificado parcialmente</t>
        </is>
      </c>
      <c r="N12" s="5" t="inlineStr">
        <is>
          <t>Banco automático + auditor técnico</t>
        </is>
      </c>
      <c r="O12" s="5" t="inlineStr">
        <is>
          <t>Desde la 0.2.1 hay dos formas reales: index.html para servir (Live Server y web) y dist/trasteando.html, generado a partir de él con herramientas/generar-autonomo.py. El banco comprueba que el autónomo está al día con index.html. Se vuelve más exigente al pasar a módulos (F4.1); F6.1 generará el archivo autónomo a partir de ellos.</t>
        </is>
      </c>
      <c r="P12" s="6" t="n"/>
      <c r="Q12" s="5" t="inlineStr"/>
    </row>
    <row r="13" ht="63" customHeight="1">
      <c r="A13" s="4" t="inlineStr">
        <is>
          <t>G-09</t>
        </is>
      </c>
      <c r="B13" s="5" t="inlineStr">
        <is>
          <t>Requisitos generales y de producto</t>
        </is>
      </c>
      <c r="C13" s="5" t="inlineStr">
        <is>
          <t>La app podrá distribuirse por tiendas oficiales —Google Play, Microsoft Store y, si compensa, App Store— empaquetando la PWA publicada.</t>
        </is>
      </c>
      <c r="D13" s="5" t="inlineStr">
        <is>
          <t>Media</t>
        </is>
      </c>
      <c r="E13" s="5" t="inlineStr">
        <is>
          <t>Cliente · 14/10</t>
        </is>
      </c>
      <c r="F13" s="5" t="inlineStr">
        <is>
          <t>F7</t>
        </is>
      </c>
      <c r="G13" s="5" t="inlineStr">
        <is>
          <t>F7.4</t>
        </is>
      </c>
      <c r="H13" s="5" t="inlineStr">
        <is>
          <t>I</t>
        </is>
      </c>
      <c r="I13" s="5" t="inlineStr">
        <is>
          <t>Ficha enviada a revisión en al menos una tienda, o decisión documentada de no hacerlo.</t>
        </is>
      </c>
      <c r="J13" s="5" t="inlineStr">
        <is>
          <t>No cumple</t>
        </is>
      </c>
      <c r="K13" s="5" t="inlineStr">
        <is>
          <t>—</t>
        </is>
      </c>
      <c r="L13" s="5" t="inlineStr">
        <is>
          <t>—</t>
        </is>
      </c>
      <c r="M13" s="5" t="inlineStr">
        <is>
          <t>Pendiente</t>
        </is>
      </c>
      <c r="N13" s="5" t="inlineStr">
        <is>
          <t>Auditor de requisitos</t>
        </is>
      </c>
      <c r="O13" s="5" t="inlineStr">
        <is>
          <t>Decisión de producto en F7.4. Exige S-07 con licencia limpia, G-11 y la web publicada (X-02). Cuentas, costes y archivos necesarios: roadmap, Inventario de lanzamiento.</t>
        </is>
      </c>
      <c r="P13" s="6" t="n"/>
      <c r="Q13" s="5" t="inlineStr"/>
    </row>
    <row r="14" ht="63" customHeight="1">
      <c r="A14" s="4" t="inlineStr">
        <is>
          <t>G-10</t>
        </is>
      </c>
      <c r="B14" s="5" t="inlineStr">
        <is>
          <t>Requisitos generales y de producto</t>
        </is>
      </c>
      <c r="C14" s="5" t="inlineStr">
        <is>
          <t>Control de versiones de la app: cada versión tiene número propio con la pauta 0.‹fase›.‹corrección› —1.0.0 en el lanzamiento—, se registra en CHANGELOG.md y se muestra en Ajustes.</t>
        </is>
      </c>
      <c r="D14" s="5" t="inlineStr">
        <is>
          <t>Alta</t>
        </is>
      </c>
      <c r="E14" s="5" t="inlineStr">
        <is>
          <t>Cliente · 14/10</t>
        </is>
      </c>
      <c r="F14" s="5" t="inlineStr">
        <is>
          <t>F1</t>
        </is>
      </c>
      <c r="G14" s="5" t="inlineStr">
        <is>
          <t>F1.3</t>
        </is>
      </c>
      <c r="H14" s="5" t="inlineStr">
        <is>
          <t>I</t>
        </is>
      </c>
      <c r="I14" s="5" t="inlineStr">
        <is>
          <t>Ajustes muestra la versión; CHANGELOG.md tiene una entrada por versión; existe la etiqueta de Git de cada cierre de fase.</t>
        </is>
      </c>
      <c r="J14" s="5" t="inlineStr">
        <is>
          <t>Cumple</t>
        </is>
      </c>
      <c r="K14" s="5" t="inlineStr">
        <is>
          <t>0.1.2</t>
        </is>
      </c>
      <c r="L14" s="5" t="inlineStr">
        <is>
          <t>Banco (node --test) · CHANGELOG.md · F1.1 #12</t>
        </is>
      </c>
      <c r="M14" s="5" t="inlineStr">
        <is>
          <t>Verificado parcialmente</t>
        </is>
      </c>
      <c r="N14" s="5" t="inlineStr">
        <is>
          <t>Auditor de requisitos</t>
        </is>
      </c>
      <c r="O14" s="5" t="inlineStr">
        <is>
          <t>Vincula cada versión con su fase del roadmap. Cada fase cerrada se marca además con una etiqueta de Git (F1.4).</t>
        </is>
      </c>
      <c r="P14" s="6" t="n"/>
      <c r="Q14" s="5" t="inlineStr"/>
    </row>
    <row r="15" ht="63" customHeight="1">
      <c r="A15" s="4" t="inlineStr">
        <is>
          <t>G-11</t>
        </is>
      </c>
      <c r="B15" s="5" t="inlineStr">
        <is>
          <t>Requisitos generales y de producto</t>
        </is>
      </c>
      <c r="C15" s="5" t="inlineStr">
        <is>
          <t>Privacidad: la app no recoge ni envía datos personales; el sonido del micrófono se analiza solo en el dispositivo. Una política de privacidad pública lo declara.</t>
        </is>
      </c>
      <c r="D15" s="5" t="inlineStr">
        <is>
          <t>Alta</t>
        </is>
      </c>
      <c r="E15" s="5" t="inlineStr">
        <is>
          <t>Desarrollo · v1.2</t>
        </is>
      </c>
      <c r="F15" s="5" t="inlineStr">
        <is>
          <t>F6</t>
        </is>
      </c>
      <c r="G15" s="5" t="inlineStr">
        <is>
          <t>F6.4</t>
        </is>
      </c>
      <c r="H15" s="5" t="inlineStr">
        <is>
          <t>I</t>
        </is>
      </c>
      <c r="I15" s="5" t="inlineStr">
        <is>
          <t>La política de privacidad está publicada y la app no envía ninguna petición con datos del usuario (pestaña Red).</t>
        </is>
      </c>
      <c r="J15" s="5" t="inlineStr">
        <is>
          <t>No cumple</t>
        </is>
      </c>
      <c r="K15" s="5" t="inlineStr">
        <is>
          <t>—</t>
        </is>
      </c>
      <c r="L15" s="5" t="inlineStr">
        <is>
          <t>—</t>
        </is>
      </c>
      <c r="M15" s="5" t="inlineStr">
        <is>
          <t>Pendiente</t>
        </is>
      </c>
      <c r="N15" s="5" t="inlineStr">
        <is>
          <t>Auditor de requisitos</t>
        </is>
      </c>
      <c r="O15" s="5" t="inlineStr">
        <is>
          <t>Las tiendas exigen política de privacidad, y el micrófono la hace necesaria también por transparencia. Hoy la app ya no envía nada: solo guarda ajustes en el propio navegador.</t>
        </is>
      </c>
      <c r="P15" s="6" t="n"/>
      <c r="Q15" s="5" t="inlineStr"/>
    </row>
    <row r="16" ht="48" customHeight="1">
      <c r="A16" s="4" t="inlineStr">
        <is>
          <t>PL-01</t>
        </is>
      </c>
      <c r="B16" s="5" t="inlineStr">
        <is>
          <t>Plataformas</t>
        </is>
      </c>
      <c r="C16" s="5" t="inlineStr">
        <is>
          <t>Windows: la app funciona en Chrome, Edge y Firefox actuales —en modo archivo, local y web— e instalada como PWA desde Edge o Chrome.</t>
        </is>
      </c>
      <c r="D16" s="5" t="inlineStr">
        <is>
          <t>Alta</t>
        </is>
      </c>
      <c r="E16" s="5" t="inlineStr">
        <is>
          <t>Cliente · 14/10</t>
        </is>
      </c>
      <c r="F16" s="5" t="inlineStr">
        <is>
          <t>F2 · F7</t>
        </is>
      </c>
      <c r="G16" s="5" t="inlineStr">
        <is>
          <t>F2.5 · F7.2</t>
        </is>
      </c>
      <c r="H16" s="5" t="inlineStr">
        <is>
          <t>D</t>
        </is>
      </c>
      <c r="I16" s="5" t="inlineStr">
        <is>
          <t>La lista de F1.1 se supera en Chrome, Edge y Firefox en Windows, y la app se instala como PWA desde Edge.</t>
        </is>
      </c>
      <c r="J16" s="5" t="inlineStr">
        <is>
          <t>Cumple parcialmente</t>
        </is>
      </c>
      <c r="K16" s="5" t="inlineStr">
        <is>
          <t>0.1.0</t>
        </is>
      </c>
      <c r="L16" s="5" t="inlineStr">
        <is>
          <t>—</t>
        </is>
      </c>
      <c r="M16" s="5" t="inlineStr">
        <is>
          <t>Pendiente</t>
        </is>
      </c>
      <c r="N16" s="5" t="inlineStr">
        <is>
          <t>Cliente</t>
        </is>
      </c>
      <c r="O16" s="5" t="inlineStr">
        <is>
          <t>Es la plataforma de desarrollo y la mejor cubierta. Tienda: Microsoft Store (F7.4).</t>
        </is>
      </c>
      <c r="P16" s="6" t="n"/>
      <c r="Q16" s="5" t="inlineStr"/>
    </row>
    <row r="17" ht="120" customHeight="1">
      <c r="A17" s="4" t="inlineStr">
        <is>
          <t>PL-02</t>
        </is>
      </c>
      <c r="B17" s="5" t="inlineStr">
        <is>
          <t>Plataformas</t>
        </is>
      </c>
      <c r="C17" s="5" t="inlineStr">
        <is>
          <t>Android: la app funciona en Chrome —en web e instalada como PWA— y, si es viable, en modo archivo.</t>
        </is>
      </c>
      <c r="D17" s="5" t="inlineStr">
        <is>
          <t>Alta</t>
        </is>
      </c>
      <c r="E17" s="5" t="inlineStr">
        <is>
          <t>Cliente · 14/10</t>
        </is>
      </c>
      <c r="F17" s="5" t="inlineStr">
        <is>
          <t>F2 · F7</t>
        </is>
      </c>
      <c r="G17" s="5" t="inlineStr">
        <is>
          <t>F2.5 · F7.2</t>
        </is>
      </c>
      <c r="H17" s="5" t="inlineStr">
        <is>
          <t>D</t>
        </is>
      </c>
      <c r="I17" s="5" t="inlineStr">
        <is>
          <t>La lista de comprobación se supera en Chrome para Android, en web y con la PWA instalada.</t>
        </is>
      </c>
      <c r="J17" s="5" t="inlineStr">
        <is>
          <t>Cumple parcialmente</t>
        </is>
      </c>
      <c r="K17" s="5" t="inlineStr">
        <is>
          <t>0.1.0</t>
        </is>
      </c>
      <c r="L17" s="5" t="inlineStr">
        <is>
          <t>—</t>
        </is>
      </c>
      <c r="M17" s="5" t="inlineStr">
        <is>
          <t>Pendiente</t>
        </is>
      </c>
      <c r="N17" s="5" t="inlineStr">
        <is>
          <t>Cliente</t>
        </is>
      </c>
      <c r="O17" s="5" t="inlineStr">
        <is>
          <t>Modo archivo: abrir el HTML descargado con Chrome; a verificar en F2.5. Tienda: Google Play empaquetando la PWA (F7.4). Sin Android de pruebas por ahora (decisión del 15/10): mantiene la prioridad Alta, se valida con el simulador de dispositivos de Chrome como evidencia parcial y en un Android real en cuanto haya uno, como tarde en F7.2.</t>
        </is>
      </c>
      <c r="P17" s="6" t="n"/>
      <c r="Q17" s="5" t="inlineStr"/>
    </row>
    <row r="18" ht="120" customHeight="1">
      <c r="A18" s="4" t="inlineStr">
        <is>
          <t>PL-03</t>
        </is>
      </c>
      <c r="B18" s="5" t="inlineStr">
        <is>
          <t>Plataformas</t>
        </is>
      </c>
      <c r="C18" s="5" t="inlineStr">
        <is>
          <t>iPhone y iPad: la app funciona en Safari, en web e instalada con «Añadir a pantalla de inicio».</t>
        </is>
      </c>
      <c r="D18" s="5" t="inlineStr">
        <is>
          <t>Alta</t>
        </is>
      </c>
      <c r="E18" s="5" t="inlineStr">
        <is>
          <t>Cliente · 14/10</t>
        </is>
      </c>
      <c r="F18" s="5" t="inlineStr">
        <is>
          <t>F2 · F7</t>
        </is>
      </c>
      <c r="G18" s="5" t="inlineStr">
        <is>
          <t>F2.5 · F7.2</t>
        </is>
      </c>
      <c r="H18" s="5" t="inlineStr">
        <is>
          <t>D</t>
        </is>
      </c>
      <c r="I18" s="5" t="inlineStr">
        <is>
          <t>La lista de comprobación se supera en Safari para iOS, en web y desde la pantalla de inicio.</t>
        </is>
      </c>
      <c r="J18" s="5" t="inlineStr">
        <is>
          <t>Cumple parcialmente</t>
        </is>
      </c>
      <c r="K18" s="5" t="inlineStr">
        <is>
          <t>0.1.0</t>
        </is>
      </c>
      <c r="L18" s="5" t="inlineStr">
        <is>
          <t>—</t>
        </is>
      </c>
      <c r="M18" s="5" t="inlineStr">
        <is>
          <t>Pendiente</t>
        </is>
      </c>
      <c r="N18" s="5" t="inlineStr">
        <is>
          <t>Cliente</t>
        </is>
      </c>
      <c r="O18" s="5" t="inlineStr">
        <is>
          <t>Modo archivo probablemente inviable: la vista previa de la app Archivos no ejecuta JavaScript (a confirmar en F2.5). Alternativas: el navegador integrado de una app de terceros o un despliegue de pruebas. Tienda: App Store exige un Mac con Xcode y la cuenta de desarrollador de Apple (F7.4). Móvil de referencia del proyecto desde el 14/10. Hasta publicar, se prueba con la app servida desde el ordenador por WiFi (Live Server): funciona todo salvo el micrófono y la instalación.</t>
        </is>
      </c>
      <c r="P18" s="6" t="n"/>
      <c r="Q18" s="5" t="inlineStr"/>
    </row>
    <row r="19" ht="108" customHeight="1">
      <c r="A19" s="4" t="inlineStr">
        <is>
          <t>PL-04</t>
        </is>
      </c>
      <c r="B19" s="5" t="inlineStr">
        <is>
          <t>Plataformas</t>
        </is>
      </c>
      <c r="C19" s="5" t="inlineStr">
        <is>
          <t>Adaptabilidad entre sistemas: la app solo usa estándares web; detecta cada capacidad en lugar del sistema, y toda capacidad que no esté en Windows, Android e iPhone tiene alternativa, de modo que la app sigue funcionando donde falta.</t>
        </is>
      </c>
      <c r="D19" s="5" t="inlineStr">
        <is>
          <t>Alta</t>
        </is>
      </c>
      <c r="E19" s="5" t="inlineStr">
        <is>
          <t>Cliente · 14/10</t>
        </is>
      </c>
      <c r="F19" s="5" t="inlineStr">
        <is>
          <t>F2 · F3 · F7</t>
        </is>
      </c>
      <c r="G19" s="5" t="inlineStr">
        <is>
          <t>F2.2 · F3.2 · F7.2</t>
        </is>
      </c>
      <c r="H19" s="5" t="inlineStr">
        <is>
          <t>I+T</t>
        </is>
      </c>
      <c r="I19" s="5" t="inlineStr">
        <is>
          <t>Cada capacidad del navegador que usa la app figura en docs/compatibilidad.md con su comportamiento en Windows, Android e iPhone y su alternativa; el banco arranca la app sin vibración ni audio y funciona.</t>
        </is>
      </c>
      <c r="J19" s="5" t="inlineStr">
        <is>
          <t>Cumple parcialmente</t>
        </is>
      </c>
      <c r="K19" s="5" t="inlineStr">
        <is>
          <t>0.1.4</t>
        </is>
      </c>
      <c r="L19" s="5" t="inlineStr">
        <is>
          <t>docs/compatibilidad.md · Banco (node --test)</t>
        </is>
      </c>
      <c r="M19" s="5" t="inlineStr">
        <is>
          <t>Verificado parcialmente</t>
        </is>
      </c>
      <c r="N19" s="5" t="inlineStr">
        <is>
          <t>Cliente</t>
        </is>
      </c>
      <c r="O19" s="5" t="inlineStr">
        <is>
          <t>Decisión del 15/10. Inventario de capacidades, comportamiento por sistema y alternativas en docs/compatibilidad.md, que se revisa en cada etapa que añade una capacidad. Hoy ya se cumple para la vibración (se omite donde no existe) y para el audio interrumpido de iOS (0.1.4).</t>
        </is>
      </c>
      <c r="P19" s="6" t="n"/>
      <c r="Q19" s="5" t="inlineStr"/>
    </row>
    <row r="20" ht="33" customHeight="1">
      <c r="A20" s="4" t="inlineStr">
        <is>
          <t>N-01</t>
        </is>
      </c>
      <c r="B20" s="5" t="inlineStr">
        <is>
          <t>Nomenclatura y notación</t>
        </is>
      </c>
      <c r="C20" s="5" t="inlineStr">
        <is>
          <t>Alternancia entre nomenclatura latina (Do, Re, Mi…) y anglosajona (C, D, E…).</t>
        </is>
      </c>
      <c r="D20" s="5" t="inlineStr">
        <is>
          <t>Alta</t>
        </is>
      </c>
      <c r="E20" s="5" t="inlineStr">
        <is>
          <t>Cliente · listado 14/09</t>
        </is>
      </c>
      <c r="F20" s="5" t="inlineStr">
        <is>
          <t>F1</t>
        </is>
      </c>
      <c r="G20" s="5" t="inlineStr">
        <is>
          <t>F1.1</t>
        </is>
      </c>
      <c r="H20" s="5" t="inlineStr">
        <is>
          <t>D</t>
        </is>
      </c>
      <c r="I20" s="5" t="inlineStr">
        <is>
          <t>El chip de nomenclatura alterna todos los nombres entre Do-Re-Mi y C-D-E.</t>
        </is>
      </c>
      <c r="J20" s="5" t="inlineStr">
        <is>
          <t>Cumple</t>
        </is>
      </c>
      <c r="K20" s="5" t="inlineStr">
        <is>
          <t>0.1.0</t>
        </is>
      </c>
      <c r="L20" s="5" t="inlineStr">
        <is>
          <t>F1.1 #6</t>
        </is>
      </c>
      <c r="M20" s="5" t="inlineStr">
        <is>
          <t>Pendiente</t>
        </is>
      </c>
      <c r="N20" s="5" t="inlineStr">
        <is>
          <t>Cliente</t>
        </is>
      </c>
      <c r="O20" s="5" t="inlineStr"/>
      <c r="P20" s="6" t="n"/>
      <c r="Q20" s="5" t="inlineStr"/>
    </row>
    <row r="21" ht="33" customHeight="1">
      <c r="A21" s="4" t="inlineStr">
        <is>
          <t>N-02</t>
        </is>
      </c>
      <c r="B21" s="5" t="inlineStr">
        <is>
          <t>Nomenclatura y notación</t>
        </is>
      </c>
      <c r="C21" s="5" t="inlineStr">
        <is>
          <t>El cambio de nomenclatura está en el menú de configuración.</t>
        </is>
      </c>
      <c r="D21" s="5" t="inlineStr">
        <is>
          <t>Alta</t>
        </is>
      </c>
      <c r="E21" s="5" t="inlineStr">
        <is>
          <t>Cliente · listado 14/09</t>
        </is>
      </c>
      <c r="F21" s="5" t="inlineStr">
        <is>
          <t>F1</t>
        </is>
      </c>
      <c r="G21" s="5" t="inlineStr">
        <is>
          <t>F1.1</t>
        </is>
      </c>
      <c r="H21" s="5" t="inlineStr">
        <is>
          <t>D</t>
        </is>
      </c>
      <c r="I21" s="5" t="inlineStr">
        <is>
          <t>El selector de Ajustes produce el mismo cambio que el chip.</t>
        </is>
      </c>
      <c r="J21" s="5" t="inlineStr">
        <is>
          <t>Cumple</t>
        </is>
      </c>
      <c r="K21" s="5" t="inlineStr">
        <is>
          <t>0.1.0</t>
        </is>
      </c>
      <c r="L21" s="5" t="inlineStr">
        <is>
          <t>F1.1 #14</t>
        </is>
      </c>
      <c r="M21" s="5" t="inlineStr">
        <is>
          <t>Pendiente</t>
        </is>
      </c>
      <c r="N21" s="5" t="inlineStr">
        <is>
          <t>Cliente</t>
        </is>
      </c>
      <c r="O21" s="5" t="inlineStr"/>
      <c r="P21" s="6" t="n"/>
      <c r="Q21" s="5" t="inlineStr"/>
    </row>
    <row r="22" ht="33" customHeight="1">
      <c r="A22" s="4" t="inlineStr">
        <is>
          <t>N-03</t>
        </is>
      </c>
      <c r="B22" s="5" t="inlineStr">
        <is>
          <t>Nomenclatura y notación</t>
        </is>
      </c>
      <c r="C22" s="5" t="inlineStr">
        <is>
          <t>El cambio de nomenclatura está además en la interfaz principal, sin abrir el menú.</t>
        </is>
      </c>
      <c r="D22" s="5" t="inlineStr">
        <is>
          <t>Alta</t>
        </is>
      </c>
      <c r="E22" s="5" t="inlineStr">
        <is>
          <t>Cliente · listado 14/09</t>
        </is>
      </c>
      <c r="F22" s="5" t="inlineStr">
        <is>
          <t>F1</t>
        </is>
      </c>
      <c r="G22" s="5" t="inlineStr">
        <is>
          <t>F1.1</t>
        </is>
      </c>
      <c r="H22" s="5" t="inlineStr">
        <is>
          <t>D</t>
        </is>
      </c>
      <c r="I22" s="5" t="inlineStr">
        <is>
          <t>El chip está visible en la barra de acceso rápido sin abrir ningún menú.</t>
        </is>
      </c>
      <c r="J22" s="5" t="inlineStr">
        <is>
          <t>Cumple</t>
        </is>
      </c>
      <c r="K22" s="5" t="inlineStr">
        <is>
          <t>0.1.0</t>
        </is>
      </c>
      <c r="L22" s="5" t="inlineStr">
        <is>
          <t>F1.1 #14</t>
        </is>
      </c>
      <c r="M22" s="5" t="inlineStr">
        <is>
          <t>Pendiente</t>
        </is>
      </c>
      <c r="N22" s="5" t="inlineStr">
        <is>
          <t>Cliente</t>
        </is>
      </c>
      <c r="O22" s="5" t="inlineStr">
        <is>
          <t>Chip en la barra de acceso rápido.</t>
        </is>
      </c>
      <c r="P22" s="6" t="n"/>
      <c r="Q22" s="5" t="inlineStr"/>
    </row>
    <row r="23" ht="33" customHeight="1">
      <c r="A23" s="4" t="inlineStr">
        <is>
          <t>N-04</t>
        </is>
      </c>
      <c r="B23" s="5" t="inlineStr">
        <is>
          <t>Nomenclatura y notación</t>
        </is>
      </c>
      <c r="C23" s="5" t="inlineStr">
        <is>
          <t>La nomenclatura se aplica de forma consistente en mástil, juego, afinador y pentagrama.</t>
        </is>
      </c>
      <c r="D23" s="5" t="inlineStr">
        <is>
          <t>Alta</t>
        </is>
      </c>
      <c r="E23" s="5" t="inlineStr">
        <is>
          <t>Cliente · listado 14/09</t>
        </is>
      </c>
      <c r="F23" s="5" t="inlineStr">
        <is>
          <t>F1</t>
        </is>
      </c>
      <c r="G23" s="5" t="inlineStr">
        <is>
          <t>F1.1</t>
        </is>
      </c>
      <c r="H23" s="5" t="inlineStr">
        <is>
          <t>D</t>
        </is>
      </c>
      <c r="I23" s="5" t="inlineStr">
        <is>
          <t>Tras cambiar la nomenclatura, mástil, cuerdas, lector de nota, pistas y afinador usan la nueva.</t>
        </is>
      </c>
      <c r="J23" s="5" t="inlineStr">
        <is>
          <t>Cumple</t>
        </is>
      </c>
      <c r="K23" s="5" t="inlineStr">
        <is>
          <t>0.1.0</t>
        </is>
      </c>
      <c r="L23" s="5" t="inlineStr">
        <is>
          <t>F1.1 #6</t>
        </is>
      </c>
      <c r="M23" s="5" t="inlineStr">
        <is>
          <t>Pendiente</t>
        </is>
      </c>
      <c r="N23" s="5" t="inlineStr">
        <is>
          <t>Cliente</t>
        </is>
      </c>
      <c r="O23" s="5" t="inlineStr">
        <is>
          <t>Verificar de nuevo al añadir Escalas (F5).</t>
        </is>
      </c>
      <c r="P23" s="6" t="n"/>
      <c r="Q23" s="5" t="inlineStr"/>
    </row>
    <row r="24" ht="33" customHeight="1">
      <c r="A24" s="4" t="inlineStr">
        <is>
          <t>N-05</t>
        </is>
      </c>
      <c r="B24" s="5" t="inlineStr">
        <is>
          <t>Nomenclatura y notación</t>
        </is>
      </c>
      <c r="C24" s="5" t="inlineStr">
        <is>
          <t>La nomenclatura persiste entre sesiones.</t>
        </is>
      </c>
      <c r="D24" s="5" t="inlineStr">
        <is>
          <t>Media</t>
        </is>
      </c>
      <c r="E24" s="5" t="inlineStr">
        <is>
          <t>Cliente · listado 14/09</t>
        </is>
      </c>
      <c r="F24" s="5" t="inlineStr">
        <is>
          <t>F1</t>
        </is>
      </c>
      <c r="G24" s="5" t="inlineStr">
        <is>
          <t>F1.1</t>
        </is>
      </c>
      <c r="H24" s="5" t="inlineStr">
        <is>
          <t>D</t>
        </is>
      </c>
      <c r="I24" s="5" t="inlineStr">
        <is>
          <t>Tras recargar la página se mantiene la nomenclatura elegida.</t>
        </is>
      </c>
      <c r="J24" s="5" t="inlineStr">
        <is>
          <t>Cumple</t>
        </is>
      </c>
      <c r="K24" s="5" t="inlineStr">
        <is>
          <t>0.1.0</t>
        </is>
      </c>
      <c r="L24" s="5" t="inlineStr">
        <is>
          <t>F1.1 #13</t>
        </is>
      </c>
      <c r="M24" s="5" t="inlineStr">
        <is>
          <t>Pendiente</t>
        </is>
      </c>
      <c r="N24" s="5" t="inlineStr">
        <is>
          <t>Cliente</t>
        </is>
      </c>
      <c r="O24" s="5" t="inlineStr">
        <is>
          <t>localStorage.</t>
        </is>
      </c>
      <c r="P24" s="6" t="n"/>
      <c r="Q24" s="5" t="inlineStr"/>
    </row>
    <row r="25" ht="33" customHeight="1">
      <c r="A25" s="4" t="inlineStr">
        <is>
          <t>D-01</t>
        </is>
      </c>
      <c r="B25" s="5" t="inlineStr">
        <is>
          <t>Diapasón</t>
        </is>
      </c>
      <c r="C25" s="5" t="inlineStr">
        <is>
          <t>Diagrama del mástil de 6 cuerdas.</t>
        </is>
      </c>
      <c r="D25" s="5" t="inlineStr">
        <is>
          <t>Alta</t>
        </is>
      </c>
      <c r="E25" s="5" t="inlineStr">
        <is>
          <t>Cliente · listado 14/09</t>
        </is>
      </c>
      <c r="F25" s="5" t="inlineStr">
        <is>
          <t>F1</t>
        </is>
      </c>
      <c r="G25" s="5" t="inlineStr">
        <is>
          <t>F1.1</t>
        </is>
      </c>
      <c r="H25" s="5" t="inlineStr">
        <is>
          <t>I</t>
        </is>
      </c>
      <c r="I25" s="5" t="inlineStr">
        <is>
          <t>Se dibujan 6 cuerdas con 25 posiciones cada una: cejuela y 24 trastes.</t>
        </is>
      </c>
      <c r="J25" s="5" t="inlineStr">
        <is>
          <t>Cumple</t>
        </is>
      </c>
      <c r="K25" s="5" t="inlineStr">
        <is>
          <t>0.1.0</t>
        </is>
      </c>
      <c r="L25" s="5" t="inlineStr">
        <is>
          <t>Banco (node --test): 150 celdas</t>
        </is>
      </c>
      <c r="M25" s="5" t="inlineStr">
        <is>
          <t>Verificado parcialmente</t>
        </is>
      </c>
      <c r="N25" s="5" t="inlineStr">
        <is>
          <t>Auditor de requisitos</t>
        </is>
      </c>
      <c r="O25" s="5" t="inlineStr"/>
      <c r="P25" s="6" t="n"/>
      <c r="Q25" s="5" t="inlineStr"/>
    </row>
    <row r="26" ht="33" customHeight="1">
      <c r="A26" s="4" t="inlineStr">
        <is>
          <t>D-02</t>
        </is>
      </c>
      <c r="B26" s="5" t="inlineStr">
        <is>
          <t>Diapasón</t>
        </is>
      </c>
      <c r="C26" s="5" t="inlineStr">
        <is>
          <t>Cada cuerda muestra a la izquierda su nota al aire, derivada de la afinación activa.</t>
        </is>
      </c>
      <c r="D26" s="5" t="inlineStr">
        <is>
          <t>Alta</t>
        </is>
      </c>
      <c r="E26" s="5" t="inlineStr">
        <is>
          <t>Cliente · listado 14/09</t>
        </is>
      </c>
      <c r="F26" s="5" t="inlineStr">
        <is>
          <t>F1</t>
        </is>
      </c>
      <c r="G26" s="5" t="inlineStr">
        <is>
          <t>F1.1</t>
        </is>
      </c>
      <c r="H26" s="5" t="inlineStr">
        <is>
          <t>D</t>
        </is>
      </c>
      <c r="I26" s="5" t="inlineStr">
        <is>
          <t>La etiqueta de cada cuerda coincide con la afinación activa y cambia al cambiarla.</t>
        </is>
      </c>
      <c r="J26" s="5" t="inlineStr">
        <is>
          <t>Cumple</t>
        </is>
      </c>
      <c r="K26" s="5" t="inlineStr">
        <is>
          <t>0.1.0</t>
        </is>
      </c>
      <c r="L26" s="5" t="inlineStr">
        <is>
          <t>Banco (node --test): Drop D</t>
        </is>
      </c>
      <c r="M26" s="5" t="inlineStr">
        <is>
          <t>Verificado parcialmente</t>
        </is>
      </c>
      <c r="N26" s="5" t="inlineStr">
        <is>
          <t>Cliente</t>
        </is>
      </c>
      <c r="O26" s="5" t="inlineStr">
        <is>
          <t>Se actualiza sola al cambiar de afinación (A-10).</t>
        </is>
      </c>
      <c r="P26" s="6" t="n"/>
      <c r="Q26" s="5" t="inlineStr"/>
    </row>
    <row r="27" ht="48" customHeight="1">
      <c r="A27" s="4" t="inlineStr">
        <is>
          <t>D-03</t>
        </is>
      </c>
      <c r="B27" s="5" t="inlineStr">
        <is>
          <t>Diapasón</t>
        </is>
      </c>
      <c r="C27" s="5" t="inlineStr">
        <is>
          <t>Cada traste muestra su número alineado exactamente sobre la franja donde se pulsa.</t>
        </is>
      </c>
      <c r="D27" s="5" t="inlineStr">
        <is>
          <t>Alta</t>
        </is>
      </c>
      <c r="E27" s="5" t="inlineStr">
        <is>
          <t>Cliente · listado 14/09</t>
        </is>
      </c>
      <c r="F27" s="5" t="inlineStr">
        <is>
          <t>F1</t>
        </is>
      </c>
      <c r="G27" s="5" t="inlineStr">
        <is>
          <t>F1.1</t>
        </is>
      </c>
      <c r="H27" s="5" t="inlineStr">
        <is>
          <t>I</t>
        </is>
      </c>
      <c r="I27" s="5" t="inlineStr">
        <is>
          <t>Cada número de traste queda centrado sobre su franja con cualquier nivel de zoom.</t>
        </is>
      </c>
      <c r="J27" s="5" t="inlineStr">
        <is>
          <t>Cumple</t>
        </is>
      </c>
      <c r="K27" s="5" t="inlineStr">
        <is>
          <t>0.1.0</t>
        </is>
      </c>
      <c r="L27" s="5" t="inlineStr">
        <is>
          <t>F1.1 #7</t>
        </is>
      </c>
      <c r="M27" s="5" t="inlineStr">
        <is>
          <t>Pendiente</t>
        </is>
      </c>
      <c r="N27" s="5" t="inlineStr">
        <is>
          <t>Auditor de requisitos</t>
        </is>
      </c>
      <c r="O27" s="5" t="inlineStr">
        <is>
          <t>La fila de números comparte las mismas variables de ancho (--label-w, --nut-w, --fret-w) que las celdas.</t>
        </is>
      </c>
      <c r="P27" s="6" t="n"/>
      <c r="Q27" s="5" t="inlineStr"/>
    </row>
    <row r="28" ht="48" customHeight="1">
      <c r="A28" s="4" t="inlineStr">
        <is>
          <t>D-04</t>
        </is>
      </c>
      <c r="B28" s="5" t="inlineStr">
        <is>
          <t>Diapasón</t>
        </is>
      </c>
      <c r="C28" s="5" t="inlineStr">
        <is>
          <t>La numeración de trastes tiene tres modos: todos, guía (solo los trastes con marca) y ninguno.</t>
        </is>
      </c>
      <c r="D28" s="5" t="inlineStr">
        <is>
          <t>Media</t>
        </is>
      </c>
      <c r="E28" s="5" t="inlineStr">
        <is>
          <t>Cliente · listado 14/09</t>
        </is>
      </c>
      <c r="F28" s="5" t="inlineStr">
        <is>
          <t>F1</t>
        </is>
      </c>
      <c r="G28" s="5" t="inlineStr">
        <is>
          <t>F1.3</t>
        </is>
      </c>
      <c r="H28" s="5" t="inlineStr">
        <is>
          <t>T</t>
        </is>
      </c>
      <c r="I28" s="5" t="inlineStr">
        <is>
          <t>Los modos Todos, Guía y No muestran todos los números, solo los de trastes con marca, o ninguno.</t>
        </is>
      </c>
      <c r="J28" s="5" t="inlineStr">
        <is>
          <t>Cumple</t>
        </is>
      </c>
      <c r="K28" s="5" t="inlineStr">
        <is>
          <t>0.1.2</t>
        </is>
      </c>
      <c r="L28" s="5" t="inlineStr">
        <is>
          <t>Banco (node --test) · F1.1 #11</t>
        </is>
      </c>
      <c r="M28" s="5" t="inlineStr">
        <is>
          <t>Verificado parcialmente</t>
        </is>
      </c>
      <c r="N28" s="5" t="inlineStr">
        <is>
          <t>Banco automático + auditor técnico</t>
        </is>
      </c>
      <c r="O28" s="5" t="inlineStr">
        <is>
          <t>Sustituye al interruptor de la 0.1.1; quien lo tuviera apagado pasa automáticamente a «ninguno».</t>
        </is>
      </c>
      <c r="P28" s="6" t="n"/>
      <c r="Q28" s="5" t="inlineStr"/>
    </row>
    <row r="29" ht="33" customHeight="1">
      <c r="A29" s="4" t="inlineStr">
        <is>
          <t>D-05</t>
        </is>
      </c>
      <c r="B29" s="5" t="inlineStr">
        <is>
          <t>Diapasón</t>
        </is>
      </c>
      <c r="C29" s="5" t="inlineStr">
        <is>
          <t>Al pulsar una posición suena esa nota.</t>
        </is>
      </c>
      <c r="D29" s="5" t="inlineStr">
        <is>
          <t>Alta</t>
        </is>
      </c>
      <c r="E29" s="5" t="inlineStr">
        <is>
          <t>Cliente · listado 14/09</t>
        </is>
      </c>
      <c r="F29" s="5" t="inlineStr">
        <is>
          <t>F1</t>
        </is>
      </c>
      <c r="G29" s="5" t="inlineStr">
        <is>
          <t>F1.1</t>
        </is>
      </c>
      <c r="H29" s="5" t="inlineStr">
        <is>
          <t>D</t>
        </is>
      </c>
      <c r="I29" s="5" t="inlineStr">
        <is>
          <t>Pulsar una posición reproduce su nota sin retardo perceptible.</t>
        </is>
      </c>
      <c r="J29" s="5" t="inlineStr">
        <is>
          <t>Cumple</t>
        </is>
      </c>
      <c r="K29" s="5" t="inlineStr">
        <is>
          <t>0.1.0</t>
        </is>
      </c>
      <c r="L29" s="5" t="inlineStr">
        <is>
          <t>F1.1 #2</t>
        </is>
      </c>
      <c r="M29" s="5" t="inlineStr">
        <is>
          <t>Pendiente</t>
        </is>
      </c>
      <c r="N29" s="5" t="inlineStr">
        <is>
          <t>Cliente</t>
        </is>
      </c>
      <c r="O29" s="5" t="inlineStr"/>
      <c r="P29" s="6" t="n"/>
      <c r="Q29" s="5" t="inlineStr"/>
    </row>
    <row r="30" ht="33" customHeight="1">
      <c r="A30" s="4" t="inlineStr">
        <is>
          <t>D-06</t>
        </is>
      </c>
      <c r="B30" s="5" t="inlineStr">
        <is>
          <t>Diapasón</t>
        </is>
      </c>
      <c r="C30" s="5" t="inlineStr">
        <is>
          <t>Al pulsar una posición aparece el nombre de la nota en la nomenclatura activa.</t>
        </is>
      </c>
      <c r="D30" s="5" t="inlineStr">
        <is>
          <t>Alta</t>
        </is>
      </c>
      <c r="E30" s="5" t="inlineStr">
        <is>
          <t>Cliente · listado 14/09</t>
        </is>
      </c>
      <c r="F30" s="5" t="inlineStr">
        <is>
          <t>F1</t>
        </is>
      </c>
      <c r="G30" s="5" t="inlineStr">
        <is>
          <t>F1.1</t>
        </is>
      </c>
      <c r="H30" s="5" t="inlineStr">
        <is>
          <t>D</t>
        </is>
      </c>
      <c r="I30" s="5" t="inlineStr">
        <is>
          <t>Al pulsar aparece el nombre de la nota sobre la posición.</t>
        </is>
      </c>
      <c r="J30" s="5" t="inlineStr">
        <is>
          <t>Cumple</t>
        </is>
      </c>
      <c r="K30" s="5" t="inlineStr">
        <is>
          <t>0.1.0</t>
        </is>
      </c>
      <c r="L30" s="5" t="inlineStr">
        <is>
          <t>F1.1 #14</t>
        </is>
      </c>
      <c r="M30" s="5" t="inlineStr">
        <is>
          <t>Pendiente</t>
        </is>
      </c>
      <c r="N30" s="5" t="inlineStr">
        <is>
          <t>Cliente</t>
        </is>
      </c>
      <c r="O30" s="5" t="inlineStr"/>
      <c r="P30" s="6" t="n"/>
      <c r="Q30" s="5" t="inlineStr"/>
    </row>
    <row r="31" ht="33" customHeight="1">
      <c r="A31" s="4" t="inlineStr">
        <is>
          <t>D-07</t>
        </is>
      </c>
      <c r="B31" s="5" t="inlineStr">
        <is>
          <t>Diapasón</t>
        </is>
      </c>
      <c r="C31" s="5" t="inlineStr">
        <is>
          <t>Marcadores de posición en los trastes habituales (3, 5, 7, 9, 12, 15, 17, 19, 21, 24).</t>
        </is>
      </c>
      <c r="D31" s="5" t="inlineStr">
        <is>
          <t>Media</t>
        </is>
      </c>
      <c r="E31" s="5" t="inlineStr">
        <is>
          <t>Cliente · listado 14/09</t>
        </is>
      </c>
      <c r="F31" s="5" t="inlineStr">
        <is>
          <t>F1</t>
        </is>
      </c>
      <c r="G31" s="5" t="inlineStr">
        <is>
          <t>F1.1</t>
        </is>
      </c>
      <c r="H31" s="5" t="inlineStr">
        <is>
          <t>I</t>
        </is>
      </c>
      <c r="I31" s="5" t="inlineStr">
        <is>
          <t>Marcas simples en los trastes 3, 5, 7, 9, 15, 17, 19 y 21, y dobles en 12 y 24.</t>
        </is>
      </c>
      <c r="J31" s="5" t="inlineStr">
        <is>
          <t>Cumple</t>
        </is>
      </c>
      <c r="K31" s="5" t="inlineStr">
        <is>
          <t>0.1.0</t>
        </is>
      </c>
      <c r="L31" s="5" t="inlineStr">
        <is>
          <t>F1.1 #14</t>
        </is>
      </c>
      <c r="M31" s="5" t="inlineStr">
        <is>
          <t>Pendiente</t>
        </is>
      </c>
      <c r="N31" s="5" t="inlineStr">
        <is>
          <t>Auditor de requisitos</t>
        </is>
      </c>
      <c r="O31" s="5" t="inlineStr"/>
      <c r="P31" s="6" t="n"/>
      <c r="Q31" s="5" t="inlineStr"/>
    </row>
    <row r="32" ht="120" customHeight="1">
      <c r="A32" s="4" t="inlineStr">
        <is>
          <t>S-01</t>
        </is>
      </c>
      <c r="B32" s="5" t="inlineStr">
        <is>
          <t>Sonido</t>
        </is>
      </c>
      <c r="C32" s="5" t="inlineStr">
        <is>
          <t>El sonido corresponde a una guitarra real, no a un sintetizador genérico.</t>
        </is>
      </c>
      <c r="D32" s="5" t="inlineStr">
        <is>
          <t>Alta</t>
        </is>
      </c>
      <c r="E32" s="5" t="inlineStr">
        <is>
          <t>Cliente · listado 14/09</t>
        </is>
      </c>
      <c r="F32" s="5" t="inlineStr">
        <is>
          <t>F1 · F2</t>
        </is>
      </c>
      <c r="G32" s="5" t="inlineStr">
        <is>
          <t>F1.1 · F2.2 · F2.4</t>
        </is>
      </c>
      <c r="H32" s="5" t="inlineStr">
        <is>
          <t>D</t>
        </is>
      </c>
      <c r="I32" s="5" t="inlineStr">
        <is>
          <t>Al pulsar cualquier posición suena una muestra grabada, no el sintetizador Karplus-Strong.</t>
        </is>
      </c>
      <c r="J32" s="5" t="inlineStr">
        <is>
          <t>Cumple</t>
        </is>
      </c>
      <c r="K32" s="5" t="inlineStr">
        <is>
          <t>0.1.0</t>
        </is>
      </c>
      <c r="L32" s="5" t="inlineStr">
        <is>
          <t>F1.1 #14 y #15 · V-05: escucha del cliente en su iPhone (0.2.0, 19/10)</t>
        </is>
      </c>
      <c r="M32" s="5" t="inlineStr">
        <is>
          <t>Verificado parcialmente</t>
        </is>
      </c>
      <c r="N32" s="5" t="inlineStr">
        <is>
          <t>Cliente</t>
        </is>
      </c>
      <c r="O32" s="5" t="inlineStr">
        <is>
          <t>Reproductor propio con las grabaciones de samples/ desde la 0.2.0. Desde la 0.2.2 la guitarra clásica tiene también la grabación de La♯5: en afinación estándar ninguna nota se transporta más de 6 semitonos, y el traste 24 suena menos artificial. La acústica no tiene grabaciones por encima del Re5 y llega a 14: limitación conocida, aceptada por ti el 20/10; se comprueba de oído en la Sesión 1 (trastes 15 a 24 de la 1ª cuerda). Escuchada por ti en el iPhone con la 0.2.0 el 19/10 (V-05). La 0.1.3 corrigió el registro agudo de nylon, que sonaba medio tono alto.</t>
        </is>
      </c>
      <c r="P32" s="6" t="n"/>
      <c r="Q32" s="5" t="inlineStr"/>
    </row>
    <row r="33" ht="63" customHeight="1">
      <c r="A33" s="4" t="inlineStr">
        <is>
          <t>S-02</t>
        </is>
      </c>
      <c r="B33" s="5" t="inlineStr">
        <is>
          <t>Sonido</t>
        </is>
      </c>
      <c r="C33" s="5" t="inlineStr">
        <is>
          <t>El usuario elige entre guitarra clásica (nylon) y acústica (acero).</t>
        </is>
      </c>
      <c r="D33" s="5" t="inlineStr">
        <is>
          <t>Alta</t>
        </is>
      </c>
      <c r="E33" s="5" t="inlineStr">
        <is>
          <t>Cliente · listado 14/09</t>
        </is>
      </c>
      <c r="F33" s="5" t="inlineStr">
        <is>
          <t>F1</t>
        </is>
      </c>
      <c r="G33" s="5" t="inlineStr">
        <is>
          <t>F1.1</t>
        </is>
      </c>
      <c r="H33" s="5" t="inlineStr">
        <is>
          <t>D</t>
        </is>
      </c>
      <c r="I33" s="5" t="inlineStr">
        <is>
          <t>Elegir Acústica cambia el timbre audible y elegir Clásica lo devuelve.</t>
        </is>
      </c>
      <c r="J33" s="5" t="inlineStr">
        <is>
          <t>Cumple</t>
        </is>
      </c>
      <c r="K33" s="5" t="inlineStr">
        <is>
          <t>0.1.0</t>
        </is>
      </c>
      <c r="L33" s="5" t="inlineStr">
        <is>
          <t>F1.1 #5</t>
        </is>
      </c>
      <c r="M33" s="5" t="inlineStr">
        <is>
          <t>Pendiente</t>
        </is>
      </c>
      <c r="N33" s="5" t="inlineStr">
        <is>
          <t>Cliente</t>
        </is>
      </c>
      <c r="O33" s="5" t="inlineStr">
        <is>
          <t>Cambiar de timbre descarga otro set de muestras, con aviso. Desde 0.1.2, dos cambios seguidos ya no muestran el mensaje de la carga descartada.</t>
        </is>
      </c>
      <c r="P33" s="6" t="n"/>
      <c r="Q33" s="5" t="inlineStr"/>
    </row>
    <row r="34" ht="33" customHeight="1">
      <c r="A34" s="4" t="inlineStr">
        <is>
          <t>S-03</t>
        </is>
      </c>
      <c r="B34" s="5" t="inlineStr">
        <is>
          <t>Sonido</t>
        </is>
      </c>
      <c r="C34" s="5" t="inlineStr">
        <is>
          <t>La selección de timbre está en el menú de configuración.</t>
        </is>
      </c>
      <c r="D34" s="5" t="inlineStr">
        <is>
          <t>Alta</t>
        </is>
      </c>
      <c r="E34" s="5" t="inlineStr">
        <is>
          <t>Cliente · listado 14/09</t>
        </is>
      </c>
      <c r="F34" s="5" t="inlineStr">
        <is>
          <t>F1</t>
        </is>
      </c>
      <c r="G34" s="5" t="inlineStr">
        <is>
          <t>F1.1</t>
        </is>
      </c>
      <c r="H34" s="5" t="inlineStr">
        <is>
          <t>I</t>
        </is>
      </c>
      <c r="I34" s="5" t="inlineStr">
        <is>
          <t>El selector de timbre está en Ajustes.</t>
        </is>
      </c>
      <c r="J34" s="5" t="inlineStr">
        <is>
          <t>Cumple</t>
        </is>
      </c>
      <c r="K34" s="5" t="inlineStr">
        <is>
          <t>0.1.0</t>
        </is>
      </c>
      <c r="L34" s="5" t="inlineStr">
        <is>
          <t>F1.1 #14</t>
        </is>
      </c>
      <c r="M34" s="5" t="inlineStr">
        <is>
          <t>Pendiente</t>
        </is>
      </c>
      <c r="N34" s="5" t="inlineStr">
        <is>
          <t>Auditor de requisitos</t>
        </is>
      </c>
      <c r="O34" s="5" t="inlineStr"/>
      <c r="P34" s="6" t="n"/>
      <c r="Q34" s="5" t="inlineStr"/>
    </row>
    <row r="35" ht="48" customHeight="1">
      <c r="A35" s="4" t="inlineStr">
        <is>
          <t>S-04</t>
        </is>
      </c>
      <c r="B35" s="5" t="inlineStr">
        <is>
          <t>Sonido</t>
        </is>
      </c>
      <c r="C35" s="5" t="inlineStr">
        <is>
          <t>Si los samples no cargan, la app sigue sonando por síntesis.</t>
        </is>
      </c>
      <c r="D35" s="5" t="inlineStr">
        <is>
          <t>Media</t>
        </is>
      </c>
      <c r="E35" s="5" t="inlineStr">
        <is>
          <t>Cliente · listado 14/09</t>
        </is>
      </c>
      <c r="F35" s="5" t="inlineStr">
        <is>
          <t>F1</t>
        </is>
      </c>
      <c r="G35" s="5" t="inlineStr">
        <is>
          <t>F1.1</t>
        </is>
      </c>
      <c r="H35" s="5" t="inlineStr">
        <is>
          <t>T</t>
        </is>
      </c>
      <c r="I35" s="5" t="inlineStr">
        <is>
          <t>Sin conexión, la app suena con el sintetizador y lo avisa en la pantalla de entrada.</t>
        </is>
      </c>
      <c r="J35" s="5" t="inlineStr">
        <is>
          <t>Cumple</t>
        </is>
      </c>
      <c r="K35" s="5" t="inlineStr">
        <is>
          <t>0.1.0</t>
        </is>
      </c>
      <c r="L35" s="5" t="inlineStr">
        <is>
          <t>—</t>
        </is>
      </c>
      <c r="M35" s="5" t="inlineStr">
        <is>
          <t>Pendiente</t>
        </is>
      </c>
      <c r="N35" s="5" t="inlineStr">
        <is>
          <t>Banco automático + auditor técnico</t>
        </is>
      </c>
      <c r="O35" s="5" t="inlineStr">
        <is>
          <t>Karplus-Strong con filtros que imitan la caja de resonancia. Desde 0.1.1 cada nota se calcula una sola vez y se reutiliza.</t>
        </is>
      </c>
      <c r="P35" s="6" t="n"/>
      <c r="Q35" s="5" t="inlineStr"/>
    </row>
    <row r="36" ht="33" customHeight="1">
      <c r="A36" s="4" t="inlineStr">
        <is>
          <t>S-05</t>
        </is>
      </c>
      <c r="B36" s="5" t="inlineStr">
        <is>
          <t>Sonido</t>
        </is>
      </c>
      <c r="C36" s="5" t="inlineStr">
        <is>
          <t>El primer sonido requiere una interacción explícita del usuario.</t>
        </is>
      </c>
      <c r="D36" s="5" t="inlineStr">
        <is>
          <t>Alta</t>
        </is>
      </c>
      <c r="E36" s="5" t="inlineStr">
        <is>
          <t>Cliente · listado 14/09</t>
        </is>
      </c>
      <c r="F36" s="5" t="inlineStr">
        <is>
          <t>F1</t>
        </is>
      </c>
      <c r="G36" s="5" t="inlineStr">
        <is>
          <t>F1.1</t>
        </is>
      </c>
      <c r="H36" s="5" t="inlineStr">
        <is>
          <t>D</t>
        </is>
      </c>
      <c r="I36" s="5" t="inlineStr">
        <is>
          <t>No suena nada antes de pulsar «Empezar».</t>
        </is>
      </c>
      <c r="J36" s="5" t="inlineStr">
        <is>
          <t>Cumple</t>
        </is>
      </c>
      <c r="K36" s="5" t="inlineStr">
        <is>
          <t>0.1.0</t>
        </is>
      </c>
      <c r="L36" s="5" t="inlineStr">
        <is>
          <t>F1.1 #14</t>
        </is>
      </c>
      <c r="M36" s="5" t="inlineStr">
        <is>
          <t>Pendiente</t>
        </is>
      </c>
      <c r="N36" s="5" t="inlineStr">
        <is>
          <t>Cliente</t>
        </is>
      </c>
      <c r="O36" s="5" t="inlineStr">
        <is>
          <t>Lo impone la política de reproducción automática de los navegadores.</t>
        </is>
      </c>
      <c r="P36" s="6" t="n"/>
      <c r="Q36" s="5" t="inlineStr"/>
    </row>
    <row r="37" ht="33" customHeight="1">
      <c r="A37" s="4" t="inlineStr">
        <is>
          <t>S-06</t>
        </is>
      </c>
      <c r="B37" s="5" t="inlineStr">
        <is>
          <t>Sonido</t>
        </is>
      </c>
      <c r="C37" s="5" t="inlineStr">
        <is>
          <t>El timbre persiste entre sesiones.</t>
        </is>
      </c>
      <c r="D37" s="5" t="inlineStr">
        <is>
          <t>Media</t>
        </is>
      </c>
      <c r="E37" s="5" t="inlineStr">
        <is>
          <t>Cliente · listado 14/09</t>
        </is>
      </c>
      <c r="F37" s="5" t="inlineStr">
        <is>
          <t>F1</t>
        </is>
      </c>
      <c r="G37" s="5" t="inlineStr">
        <is>
          <t>F1.1</t>
        </is>
      </c>
      <c r="H37" s="5" t="inlineStr">
        <is>
          <t>D</t>
        </is>
      </c>
      <c r="I37" s="5" t="inlineStr">
        <is>
          <t>Tras recargar se mantiene el timbre elegido.</t>
        </is>
      </c>
      <c r="J37" s="5" t="inlineStr">
        <is>
          <t>Cumple</t>
        </is>
      </c>
      <c r="K37" s="5" t="inlineStr">
        <is>
          <t>0.1.0</t>
        </is>
      </c>
      <c r="L37" s="5" t="inlineStr">
        <is>
          <t>F1.1 #13</t>
        </is>
      </c>
      <c r="M37" s="5" t="inlineStr">
        <is>
          <t>Pendiente</t>
        </is>
      </c>
      <c r="N37" s="5" t="inlineStr">
        <is>
          <t>Cliente</t>
        </is>
      </c>
      <c r="O37" s="5" t="inlineStr"/>
      <c r="P37" s="6" t="n"/>
      <c r="Q37" s="5" t="inlineStr"/>
    </row>
    <row r="38" ht="120" customHeight="1">
      <c r="A38" s="4" t="inlineStr">
        <is>
          <t>S-07</t>
        </is>
      </c>
      <c r="B38" s="5" t="inlineStr">
        <is>
          <t>Sonido</t>
        </is>
      </c>
      <c r="C38" s="5" t="inlineStr">
        <is>
          <t>Los samples de audio se alojan en el propio proyecto, con licencia verificada y documentada.</t>
        </is>
      </c>
      <c r="D38" s="5" t="inlineStr">
        <is>
          <t>Alta</t>
        </is>
      </c>
      <c r="E38" s="5" t="inlineStr">
        <is>
          <t>AR-01</t>
        </is>
      </c>
      <c r="F38" s="5" t="inlineStr">
        <is>
          <t>F2</t>
        </is>
      </c>
      <c r="G38" s="5" t="inlineStr">
        <is>
          <t>F2.1 · F2.3</t>
        </is>
      </c>
      <c r="H38" s="5" t="inlineStr">
        <is>
          <t>I</t>
        </is>
      </c>
      <c r="I38" s="5" t="inlineStr">
        <is>
          <t>Ninguna petición de audio sale del dominio propio, y CREDITOS.md documenta origen y licencia.</t>
        </is>
      </c>
      <c r="J38" s="5" t="inlineStr">
        <is>
          <t>Cumple</t>
        </is>
      </c>
      <c r="K38" s="5" t="inlineStr">
        <is>
          <t>0.2.3</t>
        </is>
      </c>
      <c r="L38" s="5" t="inlineStr">
        <is>
          <t>CREDITOS.md y samples/ (F2.1) · Banco (node --test): ninguna dirección externa (0.2.0) · licencia de los 161 sonidos del pack de nylon: CC BY, con filtros de control a 0 (20/10)</t>
        </is>
      </c>
      <c r="M38" s="5" t="inlineStr">
        <is>
          <t>Verificado</t>
        </is>
      </c>
      <c r="N38" s="5" t="inlineStr">
        <is>
          <t>Auditor de requisitos</t>
        </is>
      </c>
      <c r="O38" s="5" t="inlineStr">
        <is>
          <t>Opción A, decidida el 14/10. Hecho: licencias verificadas y los 16 archivos en samples/, con CREDITOS.md (F2.1); desde la 0.2.0 la app los usa y no descarga nada de otros servidores (F2.2). Desde la 0.2.1 van también dentro del archivo autónomo (F2.3). El 20/10 se completó la licencia del pack de nylon: en la búsqueda de Freesound, el pack tiene 161 sonidos y el filtro de licencia «Attribution» (CC BY) devuelve los 161; dos filtros de control («Attribution 4.0» y «Creative Commons 0») devuelven 0, lo que prueba que el filtro se aplica. Tres sonidos revisados uno a uno (183078, 183083 y 183089) son «Attribution 4.0». La búsqueda la hiciste tú en tu iPhone, porque está cerrada a los agentes. Validado por inspección: ninguna petición de audio sale del dominio propio (banco) y CREDITOS.md documenta origen y licencia de los 17 archivos.</t>
        </is>
      </c>
      <c r="P38" s="6" t="n"/>
      <c r="Q38" s="5" t="inlineStr"/>
    </row>
    <row r="39" ht="120" customHeight="1">
      <c r="A39" s="4" t="inlineStr">
        <is>
          <t>S-08</t>
        </is>
      </c>
      <c r="B39" s="5" t="inlineStr">
        <is>
          <t>Sonido</t>
        </is>
      </c>
      <c r="C39" s="5" t="inlineStr">
        <is>
          <t>Cada nota suena a menos de 5 cents de su frecuencia, una vez corregida la desviación medida de su grabación. Cada grabación que usa la app es la nota a la que está asignada y tiene su desviación medida.</t>
        </is>
      </c>
      <c r="D39" s="5" t="inlineStr">
        <is>
          <t>Alta</t>
        </is>
      </c>
      <c r="E39" s="5" t="inlineStr">
        <is>
          <t>Desarrollo · medición F2.1</t>
        </is>
      </c>
      <c r="F39" s="5" t="inlineStr">
        <is>
          <t>F2</t>
        </is>
      </c>
      <c r="G39" s="5" t="inlineStr">
        <is>
          <t>F2.1 · F2.2 · F2.4</t>
        </is>
      </c>
      <c r="H39" s="5" t="inlineStr">
        <is>
          <t>T</t>
        </is>
      </c>
      <c r="I39" s="5" t="inlineStr">
        <is>
          <t>Cada nota posible, en los dos timbres, suena a ±5 cents de su frecuencia una vez aplicada la corrección de su grabación; cada grabación es la nota asignada (a menos de 50 cents) y su desviación coincide con samples/afinacion.json.</t>
        </is>
      </c>
      <c r="J39" s="5" t="inlineStr">
        <is>
          <t>Cumple</t>
        </is>
      </c>
      <c r="K39" s="5" t="inlineStr">
        <is>
          <t>0.1.3</t>
        </is>
      </c>
      <c r="L39" s="5" t="inlineStr">
        <is>
          <t>samples/afinacion.json · Banco (node --test): grabaciones y todas las notas (±0,5 cents) · V-02, V-03 y V-04: notas grabadas en el navegador, a menos de 1 cent</t>
        </is>
      </c>
      <c r="M39" s="5" t="inlineStr">
        <is>
          <t>Verificado</t>
        </is>
      </c>
      <c r="N39" s="5" t="inlineStr">
        <is>
          <t>Banco automático + auditor técnico</t>
        </is>
      </c>
      <c r="O39" s="5" t="inlineStr">
        <is>
          <t>Reformulado el 19/10, con tu aprobación: antes exigía ±5 cents a la grabación sin corregir; desde la 0.2.0 la app corrige cada grabación con su medida, así que lo que importa y se comprueba es la nota que suena. Origen: el D5.mp3 de nylon sonaba en Re♯5. Validado: el banco comprueba todas las notas posibles (±0,5 cents) y la grabación en el navegador lo confirma (V-02, V-03, V-04).</t>
        </is>
      </c>
      <c r="P39" s="6" t="n"/>
      <c r="Q39" s="5" t="inlineStr"/>
    </row>
    <row r="40" ht="78" customHeight="1">
      <c r="A40" s="4" t="inlineStr">
        <is>
          <t>P-01</t>
        </is>
      </c>
      <c r="B40" s="5" t="inlineStr">
        <is>
          <t>Pentagrama</t>
        </is>
      </c>
      <c r="C40" s="5" t="inlineStr">
        <is>
          <t>Al pulsar una nota en el mástil, se representa en el pentagrama.</t>
        </is>
      </c>
      <c r="D40" s="5" t="inlineStr">
        <is>
          <t>Alta</t>
        </is>
      </c>
      <c r="E40" s="5" t="inlineStr">
        <is>
          <t>Cliente · listado 14/09</t>
        </is>
      </c>
      <c r="F40" s="5" t="inlineStr">
        <is>
          <t>F1</t>
        </is>
      </c>
      <c r="G40" s="5" t="inlineStr">
        <is>
          <t>F1.1</t>
        </is>
      </c>
      <c r="H40" s="5" t="inlineStr">
        <is>
          <t>A</t>
        </is>
      </c>
      <c r="I40" s="5" t="inlineStr">
        <is>
          <t>Toda posición del mástil, en cualquier afinación permitida, se dibuja dentro del pentagrama.</t>
        </is>
      </c>
      <c r="J40" s="5" t="inlineStr">
        <is>
          <t>Cumple</t>
        </is>
      </c>
      <c r="K40" s="5" t="inlineStr">
        <is>
          <t>0.1.0</t>
        </is>
      </c>
      <c r="L40" s="5" t="inlineStr">
        <is>
          <t>Análisis 15/09: ninguna nota fuera en todo el rango · F1.1 #3 y #4</t>
        </is>
      </c>
      <c r="M40" s="5" t="inlineStr">
        <is>
          <t>Verificado parcialmente</t>
        </is>
      </c>
      <c r="N40" s="5" t="inlineStr">
        <is>
          <t>Auditor técnico</t>
        </is>
      </c>
      <c r="O40" s="5" t="inlineStr">
        <is>
          <t>Clave de sol octavada. Desde 0.1.1 las notas muy agudas o graves se dibujan transportadas con 8va, 15ma u 8vb, y la clave es un trazado propio que no depende de las fuentes del sistema.</t>
        </is>
      </c>
      <c r="P40" s="6" t="n"/>
      <c r="Q40" s="5" t="inlineStr"/>
    </row>
    <row r="41" ht="33" customHeight="1">
      <c r="A41" s="4" t="inlineStr">
        <is>
          <t>P-02</t>
        </is>
      </c>
      <c r="B41" s="5" t="inlineStr">
        <is>
          <t>Pentagrama</t>
        </is>
      </c>
      <c r="C41" s="5" t="inlineStr">
        <is>
          <t>El pentagrama se puede mostrar u ocultar.</t>
        </is>
      </c>
      <c r="D41" s="5" t="inlineStr">
        <is>
          <t>Alta</t>
        </is>
      </c>
      <c r="E41" s="5" t="inlineStr">
        <is>
          <t>Cliente · listado 14/09</t>
        </is>
      </c>
      <c r="F41" s="5" t="inlineStr">
        <is>
          <t>F1</t>
        </is>
      </c>
      <c r="G41" s="5" t="inlineStr">
        <is>
          <t>F1.1</t>
        </is>
      </c>
      <c r="H41" s="5" t="inlineStr">
        <is>
          <t>D</t>
        </is>
      </c>
      <c r="I41" s="5" t="inlineStr">
        <is>
          <t>El pentagrama se oculta y se muestra desde el chip y desde Ajustes.</t>
        </is>
      </c>
      <c r="J41" s="5" t="inlineStr">
        <is>
          <t>Cumple</t>
        </is>
      </c>
      <c r="K41" s="5" t="inlineStr">
        <is>
          <t>0.1.0</t>
        </is>
      </c>
      <c r="L41" s="5" t="inlineStr">
        <is>
          <t>F1.1 #14</t>
        </is>
      </c>
      <c r="M41" s="5" t="inlineStr">
        <is>
          <t>Pendiente</t>
        </is>
      </c>
      <c r="N41" s="5" t="inlineStr">
        <is>
          <t>Cliente</t>
        </is>
      </c>
      <c r="O41" s="5" t="inlineStr">
        <is>
          <t>En configuración y en acceso rápido.</t>
        </is>
      </c>
      <c r="P41" s="6" t="n"/>
      <c r="Q41" s="5" t="inlineStr"/>
    </row>
    <row r="42" ht="33" customHeight="1">
      <c r="A42" s="4" t="inlineStr">
        <is>
          <t>P-03</t>
        </is>
      </c>
      <c r="B42" s="5" t="inlineStr">
        <is>
          <t>Pentagrama</t>
        </is>
      </c>
      <c r="C42" s="5" t="inlineStr">
        <is>
          <t>El pentagrama está disponible en todos los modos de aprendizaje.</t>
        </is>
      </c>
      <c r="D42" s="5" t="inlineStr">
        <is>
          <t>Media</t>
        </is>
      </c>
      <c r="E42" s="5" t="inlineStr">
        <is>
          <t>Cliente · listado 14/09</t>
        </is>
      </c>
      <c r="F42" s="5" t="inlineStr">
        <is>
          <t>F5</t>
        </is>
      </c>
      <c r="G42" s="5" t="inlineStr">
        <is>
          <t>F5.3</t>
        </is>
      </c>
      <c r="H42" s="5" t="inlineStr">
        <is>
          <t>D</t>
        </is>
      </c>
      <c r="I42" s="5" t="inlineStr">
        <is>
          <t>El pentagrama funciona en Libre, Adivinar y Escalas.</t>
        </is>
      </c>
      <c r="J42" s="5" t="inlineStr">
        <is>
          <t>Cumple parcialmente</t>
        </is>
      </c>
      <c r="K42" s="5" t="inlineStr">
        <is>
          <t>0.1.0</t>
        </is>
      </c>
      <c r="L42" s="5" t="inlineStr">
        <is>
          <t>—</t>
        </is>
      </c>
      <c r="M42" s="5" t="inlineStr">
        <is>
          <t>Pendiente</t>
        </is>
      </c>
      <c r="N42" s="5" t="inlineStr">
        <is>
          <t>Cliente</t>
        </is>
      </c>
      <c r="O42" s="5" t="inlineStr">
        <is>
          <t>Libre y Adivinar sí. Escalas, en F5.</t>
        </is>
      </c>
      <c r="P42" s="6" t="n"/>
      <c r="Q42" s="5" t="inlineStr"/>
    </row>
    <row r="43" ht="33" customHeight="1">
      <c r="A43" s="4" t="inlineStr">
        <is>
          <t>P-04</t>
        </is>
      </c>
      <c r="B43" s="5" t="inlineStr">
        <is>
          <t>Pentagrama</t>
        </is>
      </c>
      <c r="C43" s="5" t="inlineStr">
        <is>
          <t>En el afinador, la afinación seleccionada se muestra como seis notas en un pentagrama.</t>
        </is>
      </c>
      <c r="D43" s="5" t="inlineStr">
        <is>
          <t>Media</t>
        </is>
      </c>
      <c r="E43" s="5" t="inlineStr">
        <is>
          <t>Cliente · listado 14/09</t>
        </is>
      </c>
      <c r="F43" s="5" t="inlineStr">
        <is>
          <t>F1</t>
        </is>
      </c>
      <c r="G43" s="5" t="inlineStr">
        <is>
          <t>F1.1</t>
        </is>
      </c>
      <c r="H43" s="5" t="inlineStr">
        <is>
          <t>D</t>
        </is>
      </c>
      <c r="I43" s="5" t="inlineStr">
        <is>
          <t>El afinador muestra en un pentagrama las seis notas de la afinación activa.</t>
        </is>
      </c>
      <c r="J43" s="5" t="inlineStr">
        <is>
          <t>Cumple</t>
        </is>
      </c>
      <c r="K43" s="5" t="inlineStr">
        <is>
          <t>0.1.0</t>
        </is>
      </c>
      <c r="L43" s="5" t="inlineStr">
        <is>
          <t>F1.1 #14</t>
        </is>
      </c>
      <c r="M43" s="5" t="inlineStr">
        <is>
          <t>Pendiente</t>
        </is>
      </c>
      <c r="N43" s="5" t="inlineStr">
        <is>
          <t>Cliente</t>
        </is>
      </c>
      <c r="O43" s="5" t="inlineStr"/>
      <c r="P43" s="6" t="n"/>
      <c r="Q43" s="5" t="inlineStr"/>
    </row>
    <row r="44" ht="33" customHeight="1">
      <c r="A44" s="4" t="inlineStr">
        <is>
          <t>L-01</t>
        </is>
      </c>
      <c r="B44" s="5" t="inlineStr">
        <is>
          <t>Modo Libre</t>
        </is>
      </c>
      <c r="C44" s="5" t="inlineStr">
        <is>
          <t>El modo por defecto al abrir la app es el diapasón libre.</t>
        </is>
      </c>
      <c r="D44" s="5" t="inlineStr">
        <is>
          <t>Alta</t>
        </is>
      </c>
      <c r="E44" s="5" t="inlineStr">
        <is>
          <t>Cliente · listado 14/09</t>
        </is>
      </c>
      <c r="F44" s="5" t="inlineStr">
        <is>
          <t>F1</t>
        </is>
      </c>
      <c r="G44" s="5" t="inlineStr">
        <is>
          <t>F1.1</t>
        </is>
      </c>
      <c r="H44" s="5" t="inlineStr">
        <is>
          <t>D</t>
        </is>
      </c>
      <c r="I44" s="5" t="inlineStr">
        <is>
          <t>Al abrir la app se muestra el modo Libre.</t>
        </is>
      </c>
      <c r="J44" s="5" t="inlineStr">
        <is>
          <t>Cumple</t>
        </is>
      </c>
      <c r="K44" s="5" t="inlineStr">
        <is>
          <t>0.1.0</t>
        </is>
      </c>
      <c r="L44" s="5" t="inlineStr">
        <is>
          <t>F1.1 #14</t>
        </is>
      </c>
      <c r="M44" s="5" t="inlineStr">
        <is>
          <t>Pendiente</t>
        </is>
      </c>
      <c r="N44" s="5" t="inlineStr">
        <is>
          <t>Cliente</t>
        </is>
      </c>
      <c r="O44" s="5" t="inlineStr"/>
      <c r="P44" s="6" t="n"/>
      <c r="Q44" s="5" t="inlineStr"/>
    </row>
    <row r="45" ht="48" customHeight="1">
      <c r="A45" s="4" t="inlineStr">
        <is>
          <t>L-02</t>
        </is>
      </c>
      <c r="B45" s="5" t="inlineStr">
        <is>
          <t>Modo Libre</t>
        </is>
      </c>
      <c r="C45" s="5" t="inlineStr">
        <is>
          <t>El usuario decide si ve el nombre de todas las notas del mástil o solo el de la que pulsa.</t>
        </is>
      </c>
      <c r="D45" s="5" t="inlineStr">
        <is>
          <t>Alta</t>
        </is>
      </c>
      <c r="E45" s="5" t="inlineStr">
        <is>
          <t>Cliente · listado 14/09</t>
        </is>
      </c>
      <c r="F45" s="5" t="inlineStr">
        <is>
          <t>F1</t>
        </is>
      </c>
      <c r="G45" s="5" t="inlineStr">
        <is>
          <t>F1.1</t>
        </is>
      </c>
      <c r="H45" s="5" t="inlineStr">
        <is>
          <t>D</t>
        </is>
      </c>
      <c r="I45" s="5" t="inlineStr">
        <is>
          <t>Con «Ver todas las notas» se ven todos los nombres; sin él, solo el de la nota pulsada.</t>
        </is>
      </c>
      <c r="J45" s="5" t="inlineStr">
        <is>
          <t>Cumple</t>
        </is>
      </c>
      <c r="K45" s="5" t="inlineStr">
        <is>
          <t>0.1.0</t>
        </is>
      </c>
      <c r="L45" s="5" t="inlineStr">
        <is>
          <t>Banco (node --test) · F1.1 #10</t>
        </is>
      </c>
      <c r="M45" s="5" t="inlineStr">
        <is>
          <t>Verificado parcialmente</t>
        </is>
      </c>
      <c r="N45" s="5" t="inlineStr">
        <is>
          <t>Cliente</t>
        </is>
      </c>
      <c r="O45" s="5" t="inlineStr">
        <is>
          <t>Por defecto solo la pulsada, para no convertir el mástil en una chuleta permanente. En Adivinar no se aplica (J-12).</t>
        </is>
      </c>
      <c r="P45" s="6" t="n"/>
      <c r="Q45" s="5" t="inlineStr"/>
    </row>
    <row r="46" ht="63" customHeight="1">
      <c r="A46" s="4" t="inlineStr">
        <is>
          <t>L-03</t>
        </is>
      </c>
      <c r="B46" s="5" t="inlineStr">
        <is>
          <t>Modo Libre</t>
        </is>
      </c>
      <c r="C46" s="5" t="inlineStr">
        <is>
          <t>Al pulsar una nota se señalan discretamente las demás posiciones que producen exactamente la misma nota (mismo sonido, no misma clase de nota).</t>
        </is>
      </c>
      <c r="D46" s="5" t="inlineStr">
        <is>
          <t>Media</t>
        </is>
      </c>
      <c r="E46" s="5" t="inlineStr">
        <is>
          <t>Cliente · listado 14/09</t>
        </is>
      </c>
      <c r="F46" s="5" t="inlineStr">
        <is>
          <t>F1</t>
        </is>
      </c>
      <c r="G46" s="5" t="inlineStr">
        <is>
          <t>F1.1</t>
        </is>
      </c>
      <c r="H46" s="5" t="inlineStr">
        <is>
          <t>D</t>
        </is>
      </c>
      <c r="I46" s="5" t="inlineStr">
        <is>
          <t>Al pulsar una nota se señalan las demás posiciones con el mismo sonido exacto y ninguna de otra octava.</t>
        </is>
      </c>
      <c r="J46" s="5" t="inlineStr">
        <is>
          <t>Cumple</t>
        </is>
      </c>
      <c r="K46" s="5" t="inlineStr">
        <is>
          <t>0.1.0</t>
        </is>
      </c>
      <c r="L46" s="5" t="inlineStr">
        <is>
          <t>F1.1 #14</t>
        </is>
      </c>
      <c r="M46" s="5" t="inlineStr">
        <is>
          <t>Pendiente</t>
        </is>
      </c>
      <c r="N46" s="5" t="inlineStr">
        <is>
          <t>Cliente</t>
        </is>
      </c>
      <c r="O46" s="5" t="inlineStr">
        <is>
          <t>Señal deliberadamente más tenue que la nota pulsada.</t>
        </is>
      </c>
      <c r="P46" s="6" t="n"/>
      <c r="Q46" s="5" t="inlineStr"/>
    </row>
    <row r="47" ht="63" customHeight="1">
      <c r="A47" s="4" t="inlineStr">
        <is>
          <t>J-01</t>
        </is>
      </c>
      <c r="B47" s="5" t="inlineStr">
        <is>
          <t>Modo Adivinar</t>
        </is>
      </c>
      <c r="C47" s="5" t="inlineStr">
        <is>
          <t>Suena una nota aleatoria y el usuario busca su posición en el mástil.</t>
        </is>
      </c>
      <c r="D47" s="5" t="inlineStr">
        <is>
          <t>Alta</t>
        </is>
      </c>
      <c r="E47" s="5" t="inlineStr">
        <is>
          <t>Cliente · listado 14/09</t>
        </is>
      </c>
      <c r="F47" s="5" t="inlineStr">
        <is>
          <t>F1</t>
        </is>
      </c>
      <c r="G47" s="5" t="inlineStr">
        <is>
          <t>F1.1</t>
        </is>
      </c>
      <c r="H47" s="5" t="inlineStr">
        <is>
          <t>D</t>
        </is>
      </c>
      <c r="I47" s="5" t="inlineStr">
        <is>
          <t>Al entrar en Adivinar suena una nota y el botón ▶ la repite.</t>
        </is>
      </c>
      <c r="J47" s="5" t="inlineStr">
        <is>
          <t>Cumple</t>
        </is>
      </c>
      <c r="K47" s="5" t="inlineStr">
        <is>
          <t>0.1.0</t>
        </is>
      </c>
      <c r="L47" s="5" t="inlineStr">
        <is>
          <t>F1.1 #14</t>
        </is>
      </c>
      <c r="M47" s="5" t="inlineStr">
        <is>
          <t>Pendiente</t>
        </is>
      </c>
      <c r="N47" s="5" t="inlineStr">
        <is>
          <t>Cliente</t>
        </is>
      </c>
      <c r="O47" s="5" t="inlineStr">
        <is>
          <t>Con botón para repetir el sonido. Desde 0.1.1 los retos se limitan a los 12 primeros trastes por defecto, y desplazar el mástil ya no cuenta como pulsación.</t>
        </is>
      </c>
      <c r="P47" s="6" t="n"/>
      <c r="Q47" s="5" t="inlineStr"/>
    </row>
    <row r="48" ht="33" customHeight="1">
      <c r="A48" s="4" t="inlineStr">
        <is>
          <t>J-02</t>
        </is>
      </c>
      <c r="B48" s="5" t="inlineStr">
        <is>
          <t>Modo Adivinar</t>
        </is>
      </c>
      <c r="C48" s="5" t="inlineStr">
        <is>
          <t>Se acepta como acierto cualquier posición que produzca esa nota exacta.</t>
        </is>
      </c>
      <c r="D48" s="5" t="inlineStr">
        <is>
          <t>Alta</t>
        </is>
      </c>
      <c r="E48" s="5" t="inlineStr">
        <is>
          <t>Cliente · listado 14/09</t>
        </is>
      </c>
      <c r="F48" s="5" t="inlineStr">
        <is>
          <t>F1</t>
        </is>
      </c>
      <c r="G48" s="5" t="inlineStr">
        <is>
          <t>F1.1</t>
        </is>
      </c>
      <c r="H48" s="5" t="inlineStr">
        <is>
          <t>T</t>
        </is>
      </c>
      <c r="I48" s="5" t="inlineStr">
        <is>
          <t>Cualquier posición con el mismo sonido cuenta como acierto.</t>
        </is>
      </c>
      <c r="J48" s="5" t="inlineStr">
        <is>
          <t>Cumple</t>
        </is>
      </c>
      <c r="K48" s="5" t="inlineStr">
        <is>
          <t>0.1.0</t>
        </is>
      </c>
      <c r="L48" s="5" t="inlineStr">
        <is>
          <t>Banco (node --test): acierto</t>
        </is>
      </c>
      <c r="M48" s="5" t="inlineStr">
        <is>
          <t>Verificado parcialmente</t>
        </is>
      </c>
      <c r="N48" s="5" t="inlineStr">
        <is>
          <t>Banco automático + auditor técnico</t>
        </is>
      </c>
      <c r="O48" s="5" t="inlineStr"/>
      <c r="P48" s="6" t="n"/>
      <c r="Q48" s="5" t="inlineStr"/>
    </row>
    <row r="49" ht="33" customHeight="1">
      <c r="A49" s="4" t="inlineStr">
        <is>
          <t>J-03</t>
        </is>
      </c>
      <c r="B49" s="5" t="inlineStr">
        <is>
          <t>Modo Adivinar</t>
        </is>
      </c>
      <c r="C49" s="5" t="inlineStr">
        <is>
          <t>Tras acertar se señalan las demás posiciones válidas.</t>
        </is>
      </c>
      <c r="D49" s="5" t="inlineStr">
        <is>
          <t>Media</t>
        </is>
      </c>
      <c r="E49" s="5" t="inlineStr">
        <is>
          <t>Cliente · listado 14/09</t>
        </is>
      </c>
      <c r="F49" s="5" t="inlineStr">
        <is>
          <t>F1</t>
        </is>
      </c>
      <c r="G49" s="5" t="inlineStr">
        <is>
          <t>F1.1</t>
        </is>
      </c>
      <c r="H49" s="5" t="inlineStr">
        <is>
          <t>D</t>
        </is>
      </c>
      <c r="I49" s="5" t="inlineStr">
        <is>
          <t>Tras acertar se señalan las demás posiciones válidas.</t>
        </is>
      </c>
      <c r="J49" s="5" t="inlineStr">
        <is>
          <t>Cumple</t>
        </is>
      </c>
      <c r="K49" s="5" t="inlineStr">
        <is>
          <t>0.1.0</t>
        </is>
      </c>
      <c r="L49" s="5" t="inlineStr">
        <is>
          <t>F1.1 #14</t>
        </is>
      </c>
      <c r="M49" s="5" t="inlineStr">
        <is>
          <t>Pendiente</t>
        </is>
      </c>
      <c r="N49" s="5" t="inlineStr">
        <is>
          <t>Cliente</t>
        </is>
      </c>
      <c r="O49" s="5" t="inlineStr">
        <is>
          <t>Reutiliza la lógica de L-03.</t>
        </is>
      </c>
      <c r="P49" s="6" t="n"/>
      <c r="Q49" s="5" t="inlineStr"/>
    </row>
    <row r="50" ht="33" customHeight="1">
      <c r="A50" s="4" t="inlineStr">
        <is>
          <t>J-04</t>
        </is>
      </c>
      <c r="B50" s="5" t="inlineStr">
        <is>
          <t>Modo Adivinar</t>
        </is>
      </c>
      <c r="C50" s="5" t="inlineStr">
        <is>
          <t>Pista opcional: nombre de la nota que suena.</t>
        </is>
      </c>
      <c r="D50" s="5" t="inlineStr">
        <is>
          <t>Alta</t>
        </is>
      </c>
      <c r="E50" s="5" t="inlineStr">
        <is>
          <t>Cliente · listado 14/09</t>
        </is>
      </c>
      <c r="F50" s="5" t="inlineStr">
        <is>
          <t>F1</t>
        </is>
      </c>
      <c r="G50" s="5" t="inlineStr">
        <is>
          <t>F1.1</t>
        </is>
      </c>
      <c r="H50" s="5" t="inlineStr">
        <is>
          <t>D</t>
        </is>
      </c>
      <c r="I50" s="5" t="inlineStr">
        <is>
          <t>La pista «Nombre» muestra el nombre y la octava de la nota que suena.</t>
        </is>
      </c>
      <c r="J50" s="5" t="inlineStr">
        <is>
          <t>Cumple</t>
        </is>
      </c>
      <c r="K50" s="5" t="inlineStr">
        <is>
          <t>0.1.0</t>
        </is>
      </c>
      <c r="L50" s="5" t="inlineStr">
        <is>
          <t>F1.1 #14</t>
        </is>
      </c>
      <c r="M50" s="5" t="inlineStr">
        <is>
          <t>Pendiente</t>
        </is>
      </c>
      <c r="N50" s="5" t="inlineStr">
        <is>
          <t>Cliente</t>
        </is>
      </c>
      <c r="O50" s="5" t="inlineStr"/>
      <c r="P50" s="6" t="n"/>
      <c r="Q50" s="5" t="inlineStr"/>
    </row>
    <row r="51" ht="33" customHeight="1">
      <c r="A51" s="4" t="inlineStr">
        <is>
          <t>J-05</t>
        </is>
      </c>
      <c r="B51" s="5" t="inlineStr">
        <is>
          <t>Modo Adivinar</t>
        </is>
      </c>
      <c r="C51" s="5" t="inlineStr">
        <is>
          <t>Pista opcional: cuerda o cuerdas donde puede encontrarse.</t>
        </is>
      </c>
      <c r="D51" s="5" t="inlineStr">
        <is>
          <t>Alta</t>
        </is>
      </c>
      <c r="E51" s="5" t="inlineStr">
        <is>
          <t>Cliente · listado 14/09</t>
        </is>
      </c>
      <c r="F51" s="5" t="inlineStr">
        <is>
          <t>F1</t>
        </is>
      </c>
      <c r="G51" s="5" t="inlineStr">
        <is>
          <t>F1.1</t>
        </is>
      </c>
      <c r="H51" s="5" t="inlineStr">
        <is>
          <t>D</t>
        </is>
      </c>
      <c r="I51" s="5" t="inlineStr">
        <is>
          <t>La pista «Cuerda» lista las cuerdas donde puede estar la nota.</t>
        </is>
      </c>
      <c r="J51" s="5" t="inlineStr">
        <is>
          <t>Cumple</t>
        </is>
      </c>
      <c r="K51" s="5" t="inlineStr">
        <is>
          <t>0.1.0</t>
        </is>
      </c>
      <c r="L51" s="5" t="inlineStr">
        <is>
          <t>F1.1 #14</t>
        </is>
      </c>
      <c r="M51" s="5" t="inlineStr">
        <is>
          <t>Pendiente</t>
        </is>
      </c>
      <c r="N51" s="5" t="inlineStr">
        <is>
          <t>Cliente</t>
        </is>
      </c>
      <c r="O51" s="5" t="inlineStr"/>
      <c r="P51" s="6" t="n"/>
      <c r="Q51" s="5" t="inlineStr"/>
    </row>
    <row r="52" ht="48" customHeight="1">
      <c r="A52" s="4" t="inlineStr">
        <is>
          <t>J-06</t>
        </is>
      </c>
      <c r="B52" s="5" t="inlineStr">
        <is>
          <t>Modo Adivinar</t>
        </is>
      </c>
      <c r="C52" s="5" t="inlineStr">
        <is>
          <t>Las pistas se activan desde la propia interfaz, sin abrir el menú.</t>
        </is>
      </c>
      <c r="D52" s="5" t="inlineStr">
        <is>
          <t>Alta</t>
        </is>
      </c>
      <c r="E52" s="5" t="inlineStr">
        <is>
          <t>Cliente · listado 14/09</t>
        </is>
      </c>
      <c r="F52" s="5" t="inlineStr">
        <is>
          <t>F1</t>
        </is>
      </c>
      <c r="G52" s="5" t="inlineStr">
        <is>
          <t>F1.1</t>
        </is>
      </c>
      <c r="H52" s="5" t="inlineStr">
        <is>
          <t>D</t>
        </is>
      </c>
      <c r="I52" s="5" t="inlineStr">
        <is>
          <t>Las dos pistas se activan con chips visibles en Adivinar, sin abrir Ajustes.</t>
        </is>
      </c>
      <c r="J52" s="5" t="inlineStr">
        <is>
          <t>Cumple</t>
        </is>
      </c>
      <c r="K52" s="5" t="inlineStr">
        <is>
          <t>0.1.0</t>
        </is>
      </c>
      <c r="L52" s="5" t="inlineStr">
        <is>
          <t>F1.1 #14</t>
        </is>
      </c>
      <c r="M52" s="5" t="inlineStr">
        <is>
          <t>Pendiente</t>
        </is>
      </c>
      <c r="N52" s="5" t="inlineStr">
        <is>
          <t>Cliente</t>
        </is>
      </c>
      <c r="O52" s="5" t="inlineStr">
        <is>
          <t>Con las dos pistas activas equivale a «busca esta nota en esta cuerda»; sin ninguna, a «adivina de oído».</t>
        </is>
      </c>
      <c r="P52" s="6" t="n"/>
      <c r="Q52" s="5" t="inlineStr"/>
    </row>
    <row r="53" ht="33" customHeight="1">
      <c r="A53" s="4" t="inlineStr">
        <is>
          <t>J-07</t>
        </is>
      </c>
      <c r="B53" s="5" t="inlineStr">
        <is>
          <t>Modo Adivinar</t>
        </is>
      </c>
      <c r="C53" s="5" t="inlineStr">
        <is>
          <t>Contador de racha visible durante el juego.</t>
        </is>
      </c>
      <c r="D53" s="5" t="inlineStr">
        <is>
          <t>Alta</t>
        </is>
      </c>
      <c r="E53" s="5" t="inlineStr">
        <is>
          <t>Cliente · listado 14/09</t>
        </is>
      </c>
      <c r="F53" s="5" t="inlineStr">
        <is>
          <t>F1</t>
        </is>
      </c>
      <c r="G53" s="5" t="inlineStr">
        <is>
          <t>F1.1</t>
        </is>
      </c>
      <c r="H53" s="5" t="inlineStr">
        <is>
          <t>T</t>
        </is>
      </c>
      <c r="I53" s="5" t="inlineStr">
        <is>
          <t>La racha sube con cada acierto y vuelve a 0 con cada fallo.</t>
        </is>
      </c>
      <c r="J53" s="5" t="inlineStr">
        <is>
          <t>Cumple</t>
        </is>
      </c>
      <c r="K53" s="5" t="inlineStr">
        <is>
          <t>0.1.0</t>
        </is>
      </c>
      <c r="L53" s="5" t="inlineStr">
        <is>
          <t>Banco (node --test): acierto y fallo</t>
        </is>
      </c>
      <c r="M53" s="5" t="inlineStr">
        <is>
          <t>Verificado parcialmente</t>
        </is>
      </c>
      <c r="N53" s="5" t="inlineStr">
        <is>
          <t>Banco automático + auditor técnico</t>
        </is>
      </c>
      <c r="O53" s="5" t="inlineStr"/>
      <c r="P53" s="6" t="n"/>
      <c r="Q53" s="5" t="inlineStr"/>
    </row>
    <row r="54" ht="48" customHeight="1">
      <c r="A54" s="4" t="inlineStr">
        <is>
          <t>J-08</t>
        </is>
      </c>
      <c r="B54" s="5" t="inlineStr">
        <is>
          <t>Modo Adivinar</t>
        </is>
      </c>
      <c r="C54" s="5" t="inlineStr">
        <is>
          <t>El récord de racha más larga persiste entre sesiones.</t>
        </is>
      </c>
      <c r="D54" s="5" t="inlineStr">
        <is>
          <t>Alta</t>
        </is>
      </c>
      <c r="E54" s="5" t="inlineStr">
        <is>
          <t>Cliente · listado 14/09</t>
        </is>
      </c>
      <c r="F54" s="5" t="inlineStr">
        <is>
          <t>F1</t>
        </is>
      </c>
      <c r="G54" s="5" t="inlineStr">
        <is>
          <t>F1.1</t>
        </is>
      </c>
      <c r="H54" s="5" t="inlineStr">
        <is>
          <t>T</t>
        </is>
      </c>
      <c r="I54" s="5" t="inlineStr">
        <is>
          <t>El récord persiste tras recargar la página.</t>
        </is>
      </c>
      <c r="J54" s="5" t="inlineStr">
        <is>
          <t>Cumple</t>
        </is>
      </c>
      <c r="K54" s="5" t="inlineStr">
        <is>
          <t>0.1.0</t>
        </is>
      </c>
      <c r="L54" s="5" t="inlineStr">
        <is>
          <t>Banco (node --test): récord guardado · F1.1 #13</t>
        </is>
      </c>
      <c r="M54" s="5" t="inlineStr">
        <is>
          <t>Verificado parcialmente</t>
        </is>
      </c>
      <c r="N54" s="5" t="inlineStr">
        <is>
          <t>Banco automático + auditor técnico</t>
        </is>
      </c>
      <c r="O54" s="5" t="inlineStr">
        <is>
          <t>localStorage. No funciona en las previsualizaciones de artefactos; probar en local o en la web.</t>
        </is>
      </c>
      <c r="P54" s="6" t="n"/>
      <c r="Q54" s="5" t="inlineStr"/>
    </row>
    <row r="55" ht="33" customHeight="1">
      <c r="A55" s="4" t="inlineStr">
        <is>
          <t>J-09</t>
        </is>
      </c>
      <c r="B55" s="5" t="inlineStr">
        <is>
          <t>Modo Adivinar</t>
        </is>
      </c>
      <c r="C55" s="5" t="inlineStr">
        <is>
          <t>Feedback visual inmediato de acierto y de error.</t>
        </is>
      </c>
      <c r="D55" s="5" t="inlineStr">
        <is>
          <t>Alta</t>
        </is>
      </c>
      <c r="E55" s="5" t="inlineStr">
        <is>
          <t>Cliente · listado 14/09</t>
        </is>
      </c>
      <c r="F55" s="5" t="inlineStr">
        <is>
          <t>F1</t>
        </is>
      </c>
      <c r="G55" s="5" t="inlineStr">
        <is>
          <t>F1.1</t>
        </is>
      </c>
      <c r="H55" s="5" t="inlineStr">
        <is>
          <t>D</t>
        </is>
      </c>
      <c r="I55" s="5" t="inlineStr">
        <is>
          <t>Acierto y fallo se distinguen al instante por color y destello.</t>
        </is>
      </c>
      <c r="J55" s="5" t="inlineStr">
        <is>
          <t>Cumple</t>
        </is>
      </c>
      <c r="K55" s="5" t="inlineStr">
        <is>
          <t>0.1.0</t>
        </is>
      </c>
      <c r="L55" s="5" t="inlineStr">
        <is>
          <t>F1.1 #9</t>
        </is>
      </c>
      <c r="M55" s="5" t="inlineStr">
        <is>
          <t>Pendiente</t>
        </is>
      </c>
      <c r="N55" s="5" t="inlineStr">
        <is>
          <t>Cliente</t>
        </is>
      </c>
      <c r="O55" s="5" t="inlineStr">
        <is>
          <t>Color en la posición pulsada y destello en la barra del reto.</t>
        </is>
      </c>
      <c r="P55" s="6" t="n"/>
      <c r="Q55" s="5" t="inlineStr"/>
    </row>
    <row r="56" ht="78" customHeight="1">
      <c r="A56" s="4" t="inlineStr">
        <is>
          <t>J-10</t>
        </is>
      </c>
      <c r="B56" s="5" t="inlineStr">
        <is>
          <t>Modo Adivinar</t>
        </is>
      </c>
      <c r="C56" s="5" t="inlineStr">
        <is>
          <t>Al fallar se indica cuál era la posición correcta.</t>
        </is>
      </c>
      <c r="D56" s="5" t="inlineStr">
        <is>
          <t>Media</t>
        </is>
      </c>
      <c r="E56" s="5" t="inlineStr">
        <is>
          <t>Cliente · listado 14/09</t>
        </is>
      </c>
      <c r="F56" s="5" t="inlineStr">
        <is>
          <t>F1</t>
        </is>
      </c>
      <c r="G56" s="5" t="inlineStr">
        <is>
          <t>F1.3</t>
        </is>
      </c>
      <c r="H56" s="5" t="inlineStr">
        <is>
          <t>T</t>
        </is>
      </c>
      <c r="I56" s="5" t="inlineStr">
        <is>
          <t>Tras un fallo se iluminan todas las posiciones correctas, suena la nota buscada y llega un reto nuevo limpio.</t>
        </is>
      </c>
      <c r="J56" s="5" t="inlineStr">
        <is>
          <t>Cumple</t>
        </is>
      </c>
      <c r="K56" s="5" t="inlineStr">
        <is>
          <t>0.1.2</t>
        </is>
      </c>
      <c r="L56" s="5" t="inlineStr">
        <is>
          <t>Banco (node --test): 7 comprobaciones · F1.1 #9</t>
        </is>
      </c>
      <c r="M56" s="5" t="inlineStr">
        <is>
          <t>Verificado parcialmente</t>
        </is>
      </c>
      <c r="N56" s="5" t="inlineStr">
        <is>
          <t>Banco automático + auditor técnico</t>
        </is>
      </c>
      <c r="O56" s="5" t="inlineStr">
        <is>
          <t>El fallo rompe la racha siempre. Se iluminan todas las posiciones correctas y se vuelve a oír la nota buscada justo después de la pulsada, para aprender por contraste; luego llega el reto siguiente.</t>
        </is>
      </c>
      <c r="P56" s="6" t="n"/>
      <c r="Q56" s="5" t="inlineStr"/>
    </row>
    <row r="57" ht="48" customHeight="1">
      <c r="A57" s="4" t="inlineStr">
        <is>
          <t>J-11</t>
        </is>
      </c>
      <c r="B57" s="5" t="inlineStr">
        <is>
          <t>Modo Adivinar</t>
        </is>
      </c>
      <c r="C57" s="5" t="inlineStr">
        <is>
          <t>Definir si el récord es único o independiente por afinación.</t>
        </is>
      </c>
      <c r="D57" s="5" t="inlineStr">
        <is>
          <t>Media</t>
        </is>
      </c>
      <c r="E57" s="5" t="inlineStr">
        <is>
          <t>Desarrollo · v1.1</t>
        </is>
      </c>
      <c r="F57" s="5" t="inlineStr">
        <is>
          <t>F4</t>
        </is>
      </c>
      <c r="G57" s="5" t="inlineStr">
        <is>
          <t>F4.4</t>
        </is>
      </c>
      <c r="H57" s="5" t="inlineStr">
        <is>
          <t>I</t>
        </is>
      </c>
      <c r="I57" s="5" t="inlineStr">
        <is>
          <t>La decisión queda anotada en requisitos.md.</t>
        </is>
      </c>
      <c r="J57" s="5" t="inlineStr">
        <is>
          <t>No cumple</t>
        </is>
      </c>
      <c r="K57" s="5" t="inlineStr">
        <is>
          <t>—</t>
        </is>
      </c>
      <c r="L57" s="5" t="inlineStr">
        <is>
          <t>—</t>
        </is>
      </c>
      <c r="M57" s="5" t="inlineStr">
        <is>
          <t>Pendiente</t>
        </is>
      </c>
      <c r="N57" s="5" t="inlineStr">
        <is>
          <t>Auditor de requisitos</t>
        </is>
      </c>
      <c r="O57" s="5" t="inlineStr">
        <is>
          <t>Hoy es único y global: una racha en DADGAD compite con una en estándar aunque la dificultad no sea comparable.</t>
        </is>
      </c>
      <c r="P57" s="6" t="n"/>
      <c r="Q57" s="5" t="inlineStr"/>
    </row>
    <row r="58" ht="48" customHeight="1">
      <c r="A58" s="4" t="inlineStr">
        <is>
          <t>J-12</t>
        </is>
      </c>
      <c r="B58" s="5" t="inlineStr">
        <is>
          <t>Modo Adivinar</t>
        </is>
      </c>
      <c r="C58" s="5" t="inlineStr">
        <is>
          <t>Los ajustes que revelan la respuesta —ver todas las notas— no se aplican en Adivinar.</t>
        </is>
      </c>
      <c r="D58" s="5" t="inlineStr">
        <is>
          <t>Alta</t>
        </is>
      </c>
      <c r="E58" s="5" t="inlineStr">
        <is>
          <t>Revisión de código 0.1.2</t>
        </is>
      </c>
      <c r="F58" s="5" t="inlineStr">
        <is>
          <t>F1</t>
        </is>
      </c>
      <c r="G58" s="5" t="inlineStr">
        <is>
          <t>F1.3</t>
        </is>
      </c>
      <c r="H58" s="5" t="inlineStr">
        <is>
          <t>T</t>
        </is>
      </c>
      <c r="I58" s="5" t="inlineStr">
        <is>
          <t>Con «Ver todas las notas» activo, Adivinar no muestra los nombres.</t>
        </is>
      </c>
      <c r="J58" s="5" t="inlineStr">
        <is>
          <t>Cumple</t>
        </is>
      </c>
      <c r="K58" s="5" t="inlineStr">
        <is>
          <t>0.1.2</t>
        </is>
      </c>
      <c r="L58" s="5" t="inlineStr">
        <is>
          <t>Banco (node --test) · F1.1 #10</t>
        </is>
      </c>
      <c r="M58" s="5" t="inlineStr">
        <is>
          <t>Verificado parcialmente</t>
        </is>
      </c>
      <c r="N58" s="5" t="inlineStr">
        <is>
          <t>Banco automático + auditor técnico</t>
        </is>
      </c>
      <c r="O58" s="5" t="inlineStr">
        <is>
          <t>Encontrado al revisar el código: con «ver todas las notas» activo, el juego mostraba la solución.</t>
        </is>
      </c>
      <c r="P58" s="6" t="n"/>
      <c r="Q58" s="5" t="inlineStr"/>
    </row>
    <row r="59" ht="33" customHeight="1">
      <c r="A59" s="4" t="inlineStr">
        <is>
          <t>E-01</t>
        </is>
      </c>
      <c r="B59" s="5" t="inlineStr">
        <is>
          <t>Escalas</t>
        </is>
      </c>
      <c r="C59" s="5" t="inlineStr">
        <is>
          <t>Selección de escala a practicar (tónica + tipo).</t>
        </is>
      </c>
      <c r="D59" s="5" t="inlineStr">
        <is>
          <t>Alta</t>
        </is>
      </c>
      <c r="E59" s="5" t="inlineStr">
        <is>
          <t>Cliente · listado 14/09</t>
        </is>
      </c>
      <c r="F59" s="5" t="inlineStr">
        <is>
          <t>F5</t>
        </is>
      </c>
      <c r="G59" s="5" t="inlineStr">
        <is>
          <t>F5.2</t>
        </is>
      </c>
      <c r="H59" s="5" t="inlineStr">
        <is>
          <t>D</t>
        </is>
      </c>
      <c r="I59" s="5" t="inlineStr">
        <is>
          <t>Se puede elegir tónica y tipo de escala entre el catálogo aprobado.</t>
        </is>
      </c>
      <c r="J59" s="5" t="inlineStr">
        <is>
          <t>No cumple</t>
        </is>
      </c>
      <c r="K59" s="5" t="inlineStr">
        <is>
          <t>—</t>
        </is>
      </c>
      <c r="L59" s="5" t="inlineStr">
        <is>
          <t>—</t>
        </is>
      </c>
      <c r="M59" s="5" t="inlineStr">
        <is>
          <t>Pendiente</t>
        </is>
      </c>
      <c r="N59" s="5" t="inlineStr">
        <is>
          <t>Cliente</t>
        </is>
      </c>
      <c r="O59" s="5" t="inlineStr">
        <is>
          <t>Catálogo inicial por decidir.</t>
        </is>
      </c>
      <c r="P59" s="6" t="n"/>
      <c r="Q59" s="5" t="inlineStr"/>
    </row>
    <row r="60" ht="48" customHeight="1">
      <c r="A60" s="4" t="inlineStr">
        <is>
          <t>E-02</t>
        </is>
      </c>
      <c r="B60" s="5" t="inlineStr">
        <is>
          <t>Escalas</t>
        </is>
      </c>
      <c r="C60" s="5" t="inlineStr">
        <is>
          <t>El generador de escalas opera solo en afinación estándar en la primera entrega.</t>
        </is>
      </c>
      <c r="D60" s="5" t="inlineStr">
        <is>
          <t>Alta</t>
        </is>
      </c>
      <c r="E60" s="5" t="inlineStr">
        <is>
          <t>Cliente · listado 14/09</t>
        </is>
      </c>
      <c r="F60" s="5" t="inlineStr">
        <is>
          <t>F5</t>
        </is>
      </c>
      <c r="G60" s="5" t="inlineStr">
        <is>
          <t>F5.2</t>
        </is>
      </c>
      <c r="H60" s="5" t="inlineStr">
        <is>
          <t>T</t>
        </is>
      </c>
      <c r="I60" s="5" t="inlineStr">
        <is>
          <t>Para cada tónica y tipo, las posiciones generadas coinciden con una referencia externa en afinación estándar.</t>
        </is>
      </c>
      <c r="J60" s="5" t="inlineStr">
        <is>
          <t>No cumple</t>
        </is>
      </c>
      <c r="K60" s="5" t="inlineStr">
        <is>
          <t>—</t>
        </is>
      </c>
      <c r="L60" s="5" t="inlineStr">
        <is>
          <t>—</t>
        </is>
      </c>
      <c r="M60" s="5" t="inlineStr">
        <is>
          <t>Pendiente</t>
        </is>
      </c>
      <c r="N60" s="5" t="inlineStr">
        <is>
          <t>Banco automático + auditor técnico</t>
        </is>
      </c>
      <c r="O60" s="5" t="inlineStr">
        <is>
          <t>Alcance acotado. Las demás afinaciones pasan a E-02b.</t>
        </is>
      </c>
      <c r="P60" s="6" t="n"/>
      <c r="Q60" s="5" t="inlineStr"/>
    </row>
    <row r="61" ht="48" customHeight="1">
      <c r="A61" s="4" t="inlineStr">
        <is>
          <t>E-02b</t>
        </is>
      </c>
      <c r="B61" s="5" t="inlineStr">
        <is>
          <t>Escalas</t>
        </is>
      </c>
      <c r="C61" s="5" t="inlineStr">
        <is>
          <t>Escalas en afinaciones alternativas y variantes de digitación (por ejemplo, escala en octavas).</t>
        </is>
      </c>
      <c r="D61" s="5" t="inlineStr">
        <is>
          <t>Media</t>
        </is>
      </c>
      <c r="E61" s="5" t="inlineStr">
        <is>
          <t>AR-01</t>
        </is>
      </c>
      <c r="F61" s="5" t="inlineStr">
        <is>
          <t>Posterior</t>
        </is>
      </c>
      <c r="G61" s="5" t="inlineStr">
        <is>
          <t>Posterior</t>
        </is>
      </c>
      <c r="H61" s="5" t="inlineStr">
        <is>
          <t>N/A</t>
        </is>
      </c>
      <c r="I61" s="5" t="inlineStr">
        <is>
          <t>Fuera del alcance actual.</t>
        </is>
      </c>
      <c r="J61" s="5" t="inlineStr">
        <is>
          <t>No aplica</t>
        </is>
      </c>
      <c r="K61" s="5" t="inlineStr">
        <is>
          <t>—</t>
        </is>
      </c>
      <c r="L61" s="5" t="inlineStr">
        <is>
          <t>—</t>
        </is>
      </c>
      <c r="M61" s="5" t="inlineStr">
        <is>
          <t>No aplica</t>
        </is>
      </c>
      <c r="N61" s="5" t="inlineStr">
        <is>
          <t>—</t>
        </is>
      </c>
      <c r="O61" s="5" t="inlineStr">
        <is>
          <t>Fuera del alcance de F5.</t>
        </is>
      </c>
      <c r="P61" s="6" t="n"/>
      <c r="Q61" s="5" t="inlineStr"/>
    </row>
    <row r="62" ht="33" customHeight="1">
      <c r="A62" s="4" t="inlineStr">
        <is>
          <t>E-03</t>
        </is>
      </c>
      <c r="B62" s="5" t="inlineStr">
        <is>
          <t>Escalas</t>
        </is>
      </c>
      <c r="C62" s="5" t="inlineStr">
        <is>
          <t>Submodo Mostrar: la app ilumina las notas que componen la escala.</t>
        </is>
      </c>
      <c r="D62" s="5" t="inlineStr">
        <is>
          <t>Alta</t>
        </is>
      </c>
      <c r="E62" s="5" t="inlineStr">
        <is>
          <t>Cliente · listado 14/09</t>
        </is>
      </c>
      <c r="F62" s="5" t="inlineStr">
        <is>
          <t>F5</t>
        </is>
      </c>
      <c r="G62" s="5" t="inlineStr">
        <is>
          <t>F5.3</t>
        </is>
      </c>
      <c r="H62" s="5" t="inlineStr">
        <is>
          <t>D</t>
        </is>
      </c>
      <c r="I62" s="5" t="inlineStr">
        <is>
          <t>Mostrar ilumina únicamente las notas de la escala.</t>
        </is>
      </c>
      <c r="J62" s="5" t="inlineStr">
        <is>
          <t>No cumple</t>
        </is>
      </c>
      <c r="K62" s="5" t="inlineStr">
        <is>
          <t>—</t>
        </is>
      </c>
      <c r="L62" s="5" t="inlineStr">
        <is>
          <t>—</t>
        </is>
      </c>
      <c r="M62" s="5" t="inlineStr">
        <is>
          <t>Pendiente</t>
        </is>
      </c>
      <c r="N62" s="5" t="inlineStr">
        <is>
          <t>Cliente</t>
        </is>
      </c>
      <c r="O62" s="5" t="inlineStr"/>
      <c r="P62" s="6" t="n"/>
      <c r="Q62" s="5" t="inlineStr"/>
    </row>
    <row r="63" ht="48" customHeight="1">
      <c r="A63" s="4" t="inlineStr">
        <is>
          <t>E-04</t>
        </is>
      </c>
      <c r="B63" s="5" t="inlineStr">
        <is>
          <t>Escalas</t>
        </is>
      </c>
      <c r="C63" s="5" t="inlineStr">
        <is>
          <t>En Mostrar se indica el nombre de cada nota y su separación interválica respecto a la anterior.</t>
        </is>
      </c>
      <c r="D63" s="5" t="inlineStr">
        <is>
          <t>Alta</t>
        </is>
      </c>
      <c r="E63" s="5" t="inlineStr">
        <is>
          <t>Cliente · listado 14/09</t>
        </is>
      </c>
      <c r="F63" s="5" t="inlineStr">
        <is>
          <t>F5</t>
        </is>
      </c>
      <c r="G63" s="5" t="inlineStr">
        <is>
          <t>F5.3</t>
        </is>
      </c>
      <c r="H63" s="5" t="inlineStr">
        <is>
          <t>D</t>
        </is>
      </c>
      <c r="I63" s="5" t="inlineStr">
        <is>
          <t>Cada nota iluminada muestra su nombre y el intervalo T o ST respecto al grado anterior.</t>
        </is>
      </c>
      <c r="J63" s="5" t="inlineStr">
        <is>
          <t>No cumple</t>
        </is>
      </c>
      <c r="K63" s="5" t="inlineStr">
        <is>
          <t>—</t>
        </is>
      </c>
      <c r="L63" s="5" t="inlineStr">
        <is>
          <t>—</t>
        </is>
      </c>
      <c r="M63" s="5" t="inlineStr">
        <is>
          <t>Pendiente</t>
        </is>
      </c>
      <c r="N63" s="5" t="inlineStr">
        <is>
          <t>Cliente</t>
        </is>
      </c>
      <c r="O63" s="5" t="inlineStr">
        <is>
          <t>Etiquetas tipo T — T — ST — T — T — T — ST.</t>
        </is>
      </c>
      <c r="P63" s="6" t="n"/>
      <c r="Q63" s="5" t="inlineStr"/>
    </row>
    <row r="64" ht="48" customHeight="1">
      <c r="A64" s="4" t="inlineStr">
        <is>
          <t>E-05</t>
        </is>
      </c>
      <c r="B64" s="5" t="inlineStr">
        <is>
          <t>Escalas</t>
        </is>
      </c>
      <c r="C64" s="5" t="inlineStr">
        <is>
          <t>Submodo Práctica: valida solo la pertenencia de la nota a la escala; al pulsar una ajena, marca error e ilumina las correctas.</t>
        </is>
      </c>
      <c r="D64" s="5" t="inlineStr">
        <is>
          <t>Alta</t>
        </is>
      </c>
      <c r="E64" s="5" t="inlineStr">
        <is>
          <t>Cliente · listado 14/09</t>
        </is>
      </c>
      <c r="F64" s="5" t="inlineStr">
        <is>
          <t>F5</t>
        </is>
      </c>
      <c r="G64" s="5" t="inlineStr">
        <is>
          <t>F5.4</t>
        </is>
      </c>
      <c r="H64" s="5" t="inlineStr">
        <is>
          <t>T</t>
        </is>
      </c>
      <c r="I64" s="5" t="inlineStr">
        <is>
          <t>En Práctica, una nota ajena marca error e ilumina las correctas; una nota de la escala no marca error.</t>
        </is>
      </c>
      <c r="J64" s="5" t="inlineStr">
        <is>
          <t>No cumple</t>
        </is>
      </c>
      <c r="K64" s="5" t="inlineStr">
        <is>
          <t>—</t>
        </is>
      </c>
      <c r="L64" s="5" t="inlineStr">
        <is>
          <t>—</t>
        </is>
      </c>
      <c r="M64" s="5" t="inlineStr">
        <is>
          <t>Pendiente</t>
        </is>
      </c>
      <c r="N64" s="5" t="inlineStr">
        <is>
          <t>Banco automático + auditor técnico</t>
        </is>
      </c>
      <c r="O64" s="5" t="inlineStr">
        <is>
          <t>Alcance acotado: no valida orden ni digitación.</t>
        </is>
      </c>
      <c r="P64" s="6" t="n"/>
      <c r="Q64" s="5" t="inlineStr"/>
    </row>
    <row r="65" ht="33" customHeight="1">
      <c r="A65" s="4" t="inlineStr">
        <is>
          <t>E-05b</t>
        </is>
      </c>
      <c r="B65" s="5" t="inlineStr">
        <is>
          <t>Escalas</t>
        </is>
      </c>
      <c r="C65" s="5" t="inlineStr">
        <is>
          <t>Validación del orden de la escala y de patrones de digitación concretos.</t>
        </is>
      </c>
      <c r="D65" s="5" t="inlineStr">
        <is>
          <t>Media</t>
        </is>
      </c>
      <c r="E65" s="5" t="inlineStr">
        <is>
          <t>AR-01</t>
        </is>
      </c>
      <c r="F65" s="5" t="inlineStr">
        <is>
          <t>Posterior</t>
        </is>
      </c>
      <c r="G65" s="5" t="inlineStr">
        <is>
          <t>Posterior</t>
        </is>
      </c>
      <c r="H65" s="5" t="inlineStr">
        <is>
          <t>N/A</t>
        </is>
      </c>
      <c r="I65" s="5" t="inlineStr">
        <is>
          <t>Fuera del alcance actual.</t>
        </is>
      </c>
      <c r="J65" s="5" t="inlineStr">
        <is>
          <t>No aplica</t>
        </is>
      </c>
      <c r="K65" s="5" t="inlineStr">
        <is>
          <t>—</t>
        </is>
      </c>
      <c r="L65" s="5" t="inlineStr">
        <is>
          <t>—</t>
        </is>
      </c>
      <c r="M65" s="5" t="inlineStr">
        <is>
          <t>No aplica</t>
        </is>
      </c>
      <c r="N65" s="5" t="inlineStr">
        <is>
          <t>—</t>
        </is>
      </c>
      <c r="O65" s="5" t="inlineStr">
        <is>
          <t>Fuera del alcance de F5.</t>
        </is>
      </c>
      <c r="P65" s="6" t="n"/>
      <c r="Q65" s="5" t="inlineStr"/>
    </row>
    <row r="66" ht="33" customHeight="1">
      <c r="A66" s="4" t="inlineStr">
        <is>
          <t>E-06</t>
        </is>
      </c>
      <c r="B66" s="5" t="inlineStr">
        <is>
          <t>Escalas</t>
        </is>
      </c>
      <c r="C66" s="5" t="inlineStr">
        <is>
          <t>Guiado nota a nota en el submodo Mostrar.</t>
        </is>
      </c>
      <c r="D66" s="5" t="inlineStr">
        <is>
          <t>Media</t>
        </is>
      </c>
      <c r="E66" s="5" t="inlineStr">
        <is>
          <t>Cliente · listado 14/09</t>
        </is>
      </c>
      <c r="F66" s="5" t="inlineStr">
        <is>
          <t>F5</t>
        </is>
      </c>
      <c r="G66" s="5" t="inlineStr">
        <is>
          <t>F5.3</t>
        </is>
      </c>
      <c r="H66" s="5" t="inlineStr">
        <is>
          <t>D</t>
        </is>
      </c>
      <c r="I66" s="5" t="inlineStr">
        <is>
          <t>El guiado avanza nota a nota por la escala.</t>
        </is>
      </c>
      <c r="J66" s="5" t="inlineStr">
        <is>
          <t>No cumple</t>
        </is>
      </c>
      <c r="K66" s="5" t="inlineStr">
        <is>
          <t>—</t>
        </is>
      </c>
      <c r="L66" s="5" t="inlineStr">
        <is>
          <t>—</t>
        </is>
      </c>
      <c r="M66" s="5" t="inlineStr">
        <is>
          <t>Pendiente</t>
        </is>
      </c>
      <c r="N66" s="5" t="inlineStr">
        <is>
          <t>Cliente</t>
        </is>
      </c>
      <c r="O66" s="5" t="inlineStr"/>
      <c r="P66" s="6" t="n"/>
      <c r="Q66" s="5" t="inlineStr"/>
    </row>
    <row r="67" ht="33" customHeight="1">
      <c r="A67" s="4" t="inlineStr">
        <is>
          <t>A-01</t>
        </is>
      </c>
      <c r="B67" s="5" t="inlineStr">
        <is>
          <t>Afinador</t>
        </is>
      </c>
      <c r="C67" s="5" t="inlineStr">
        <is>
          <t>Afinador por referencia: la app reproduce la nota de cada cuerda para afinar de oído.</t>
        </is>
      </c>
      <c r="D67" s="5" t="inlineStr">
        <is>
          <t>Alta</t>
        </is>
      </c>
      <c r="E67" s="5" t="inlineStr">
        <is>
          <t>Cliente · listado 14/09</t>
        </is>
      </c>
      <c r="F67" s="5" t="inlineStr">
        <is>
          <t>F1</t>
        </is>
      </c>
      <c r="G67" s="5" t="inlineStr">
        <is>
          <t>F1.1</t>
        </is>
      </c>
      <c r="H67" s="5" t="inlineStr">
        <is>
          <t>D</t>
        </is>
      </c>
      <c r="I67" s="5" t="inlineStr">
        <is>
          <t>Pulsar cada cuerda en el afinador reproduce su nota de referencia.</t>
        </is>
      </c>
      <c r="J67" s="5" t="inlineStr">
        <is>
          <t>Cumple</t>
        </is>
      </c>
      <c r="K67" s="5" t="inlineStr">
        <is>
          <t>0.1.0</t>
        </is>
      </c>
      <c r="L67" s="5" t="inlineStr">
        <is>
          <t>F1.1 #14</t>
        </is>
      </c>
      <c r="M67" s="5" t="inlineStr">
        <is>
          <t>Pendiente</t>
        </is>
      </c>
      <c r="N67" s="5" t="inlineStr">
        <is>
          <t>Cliente</t>
        </is>
      </c>
      <c r="O67" s="5" t="inlineStr">
        <is>
          <t>El MVP real del afinador.</t>
        </is>
      </c>
      <c r="P67" s="6" t="n"/>
      <c r="Q67" s="5" t="inlineStr"/>
    </row>
    <row r="68" ht="93" customHeight="1">
      <c r="A68" s="4" t="inlineStr">
        <is>
          <t>A-02</t>
        </is>
      </c>
      <c r="B68" s="5" t="inlineStr">
        <is>
          <t>Afinador</t>
        </is>
      </c>
      <c r="C68" s="5" t="inlineStr">
        <is>
          <t>Afinador por micrófono: capta la cuerda e indica si subir o bajar.</t>
        </is>
      </c>
      <c r="D68" s="5" t="inlineStr">
        <is>
          <t>Alta</t>
        </is>
      </c>
      <c r="E68" s="5" t="inlineStr">
        <is>
          <t>Cliente · listado 14/09</t>
        </is>
      </c>
      <c r="F68" s="5" t="inlineStr">
        <is>
          <t>F4</t>
        </is>
      </c>
      <c r="G68" s="5" t="inlineStr">
        <is>
          <t>F4.3</t>
        </is>
      </c>
      <c r="H68" s="5" t="inlineStr">
        <is>
          <t>D</t>
        </is>
      </c>
      <c r="I68" s="5" t="inlineStr">
        <is>
          <t>Con una guitarra real, el afinador indica subir o bajar hasta dejarla afinada, en estándar y en una alternativa.</t>
        </is>
      </c>
      <c r="J68" s="5" t="inlineStr">
        <is>
          <t>No cumple</t>
        </is>
      </c>
      <c r="K68" s="5" t="inlineStr">
        <is>
          <t>—</t>
        </is>
      </c>
      <c r="L68" s="5" t="inlineStr">
        <is>
          <t>—</t>
        </is>
      </c>
      <c r="M68" s="5" t="inlineStr">
        <is>
          <t>Pendiente</t>
        </is>
      </c>
      <c r="N68" s="5" t="inlineStr">
        <is>
          <t>Cliente</t>
        </is>
      </c>
      <c r="O68" s="5" t="inlineStr">
        <is>
          <t>Exige contexto seguro: funciona en https y en localhost. No funciona con file:// ni desde el móvil por WiFi contra el Live Server del ordenador (http://192.168… no es contexto seguro). En el móvil llega con la publicación (F7.2).</t>
        </is>
      </c>
      <c r="P68" s="6" t="n"/>
      <c r="Q68" s="5" t="inlineStr"/>
    </row>
    <row r="69" ht="63" customHeight="1">
      <c r="A69" s="4" t="inlineStr">
        <is>
          <t>A-02-CA</t>
        </is>
      </c>
      <c r="B69" s="5" t="inlineStr">
        <is>
          <t>Afinador</t>
        </is>
      </c>
      <c r="C69" s="5" t="inlineStr">
        <is>
          <t>Criterios de aceptación de A-02: precisión de detección ±2 cents en silencio razonable, latencia menor de 300 ms; el ruido de fondo queda fuera de la primera entrega.</t>
        </is>
      </c>
      <c r="D69" s="5" t="inlineStr">
        <is>
          <t>Alta</t>
        </is>
      </c>
      <c r="E69" s="5" t="inlineStr">
        <is>
          <t>AR-01</t>
        </is>
      </c>
      <c r="F69" s="5" t="inlineStr">
        <is>
          <t>F4</t>
        </is>
      </c>
      <c r="G69" s="5" t="inlineStr">
        <is>
          <t>F4.2</t>
        </is>
      </c>
      <c r="H69" s="5" t="inlineStr">
        <is>
          <t>T</t>
        </is>
      </c>
      <c r="I69" s="5" t="inlineStr">
        <is>
          <t>Banco de pruebas: error ≤ ±2 cents y latencia &lt; 300 ms sobre muestras desafinadas una cantidad conocida, tomando como referencia su frecuencia medida en samples/afinacion.json.</t>
        </is>
      </c>
      <c r="J69" s="5" t="inlineStr">
        <is>
          <t>No cumple</t>
        </is>
      </c>
      <c r="K69" s="5" t="inlineStr">
        <is>
          <t>—</t>
        </is>
      </c>
      <c r="L69" s="5" t="inlineStr">
        <is>
          <t>—</t>
        </is>
      </c>
      <c r="M69" s="5" t="inlineStr">
        <is>
          <t>Pendiente</t>
        </is>
      </c>
      <c r="N69" s="5" t="inlineStr">
        <is>
          <t>Banco automático + auditor técnico</t>
        </is>
      </c>
      <c r="O69" s="5" t="inlineStr">
        <is>
          <t>La precisión de detección debe ser mejor que el umbral de «afinado» de A-03.</t>
        </is>
      </c>
      <c r="P69" s="6" t="n"/>
      <c r="Q69" s="5" t="inlineStr"/>
    </row>
    <row r="70" ht="33" customHeight="1">
      <c r="A70" s="4" t="inlineStr">
        <is>
          <t>A-03</t>
        </is>
      </c>
      <c r="B70" s="5" t="inlineStr">
        <is>
          <t>Afinador</t>
        </is>
      </c>
      <c r="C70" s="5" t="inlineStr">
        <is>
          <t>Indicador de desviación en cents, con umbral de afinado en ±5 cents.</t>
        </is>
      </c>
      <c r="D70" s="5" t="inlineStr">
        <is>
          <t>Alta</t>
        </is>
      </c>
      <c r="E70" s="5" t="inlineStr">
        <is>
          <t>Cliente · listado 14/09</t>
        </is>
      </c>
      <c r="F70" s="5" t="inlineStr">
        <is>
          <t>F4</t>
        </is>
      </c>
      <c r="G70" s="5" t="inlineStr">
        <is>
          <t>F4.3</t>
        </is>
      </c>
      <c r="H70" s="5" t="inlineStr">
        <is>
          <t>D</t>
        </is>
      </c>
      <c r="I70" s="5" t="inlineStr">
        <is>
          <t>La aguja indica la desviación en cents y marca «afinado» dentro de ±5 cents.</t>
        </is>
      </c>
      <c r="J70" s="5" t="inlineStr">
        <is>
          <t>No cumple</t>
        </is>
      </c>
      <c r="K70" s="5" t="inlineStr">
        <is>
          <t>—</t>
        </is>
      </c>
      <c r="L70" s="5" t="inlineStr">
        <is>
          <t>—</t>
        </is>
      </c>
      <c r="M70" s="5" t="inlineStr">
        <is>
          <t>Pendiente</t>
        </is>
      </c>
      <c r="N70" s="5" t="inlineStr">
        <is>
          <t>Cliente</t>
        </is>
      </c>
      <c r="O70" s="5" t="inlineStr"/>
      <c r="P70" s="6" t="n"/>
      <c r="Q70" s="5" t="inlineStr"/>
    </row>
    <row r="71" ht="33" customHeight="1">
      <c r="A71" s="4" t="inlineStr">
        <is>
          <t>A-04</t>
        </is>
      </c>
      <c r="B71" s="5" t="inlineStr">
        <is>
          <t>Afinador</t>
        </is>
      </c>
      <c r="C71" s="5" t="inlineStr">
        <is>
          <t>Detección automática de cuerda por proximidad a la nota detectada.</t>
        </is>
      </c>
      <c r="D71" s="5" t="inlineStr">
        <is>
          <t>Alta</t>
        </is>
      </c>
      <c r="E71" s="5" t="inlineStr">
        <is>
          <t>Cliente · listado 14/09</t>
        </is>
      </c>
      <c r="F71" s="5" t="inlineStr">
        <is>
          <t>F4</t>
        </is>
      </c>
      <c r="G71" s="5" t="inlineStr">
        <is>
          <t>F4.3</t>
        </is>
      </c>
      <c r="H71" s="5" t="inlineStr">
        <is>
          <t>T</t>
        </is>
      </c>
      <c r="I71" s="5" t="inlineStr">
        <is>
          <t>Con la cuerda a menos de un semitono de su nota, el afinador identifica la cuerda correcta.</t>
        </is>
      </c>
      <c r="J71" s="5" t="inlineStr">
        <is>
          <t>No cumple</t>
        </is>
      </c>
      <c r="K71" s="5" t="inlineStr">
        <is>
          <t>—</t>
        </is>
      </c>
      <c r="L71" s="5" t="inlineStr">
        <is>
          <t>—</t>
        </is>
      </c>
      <c r="M71" s="5" t="inlineStr">
        <is>
          <t>Pendiente</t>
        </is>
      </c>
      <c r="N71" s="5" t="inlineStr">
        <is>
          <t>Banco automático + auditor técnico</t>
        </is>
      </c>
      <c r="O71" s="5" t="inlineStr">
        <is>
          <t>Limitación asumida: con una cuerda muy desafinada puede elegir la equivocada.</t>
        </is>
      </c>
      <c r="P71" s="6" t="n"/>
      <c r="Q71" s="5" t="inlineStr"/>
    </row>
    <row r="72" ht="33" customHeight="1">
      <c r="A72" s="4" t="inlineStr">
        <is>
          <t>A-05</t>
        </is>
      </c>
      <c r="B72" s="5" t="inlineStr">
        <is>
          <t>Afinador</t>
        </is>
      </c>
      <c r="C72" s="5" t="inlineStr">
        <is>
          <t>Selección manual de cuerda, que prevalece sobre A-04.</t>
        </is>
      </c>
      <c r="D72" s="5" t="inlineStr">
        <is>
          <t>Alta</t>
        </is>
      </c>
      <c r="E72" s="5" t="inlineStr">
        <is>
          <t>Cliente · listado 14/09</t>
        </is>
      </c>
      <c r="F72" s="5" t="inlineStr">
        <is>
          <t>F4</t>
        </is>
      </c>
      <c r="G72" s="5" t="inlineStr">
        <is>
          <t>F4.3</t>
        </is>
      </c>
      <c r="H72" s="5" t="inlineStr">
        <is>
          <t>D</t>
        </is>
      </c>
      <c r="I72" s="5" t="inlineStr">
        <is>
          <t>Con una cuerda fijada a mano, el afinador la usa como referencia aunque esté muy desafinada.</t>
        </is>
      </c>
      <c r="J72" s="5" t="inlineStr">
        <is>
          <t>No cumple</t>
        </is>
      </c>
      <c r="K72" s="5" t="inlineStr">
        <is>
          <t>—</t>
        </is>
      </c>
      <c r="L72" s="5" t="inlineStr">
        <is>
          <t>—</t>
        </is>
      </c>
      <c r="M72" s="5" t="inlineStr">
        <is>
          <t>Pendiente</t>
        </is>
      </c>
      <c r="N72" s="5" t="inlineStr">
        <is>
          <t>Cliente</t>
        </is>
      </c>
      <c r="O72" s="5" t="inlineStr">
        <is>
          <t>Resuelve la limitación anterior.</t>
        </is>
      </c>
      <c r="P72" s="6" t="n"/>
      <c r="Q72" s="5" t="inlineStr"/>
    </row>
    <row r="73" ht="33" customHeight="1">
      <c r="A73" s="4" t="inlineStr">
        <is>
          <t>A-06</t>
        </is>
      </c>
      <c r="B73" s="5" t="inlineStr">
        <is>
          <t>Afinador</t>
        </is>
      </c>
      <c r="C73" s="5" t="inlineStr">
        <is>
          <t>Afinación estándar (E A D G B E).</t>
        </is>
      </c>
      <c r="D73" s="5" t="inlineStr">
        <is>
          <t>Alta</t>
        </is>
      </c>
      <c r="E73" s="5" t="inlineStr">
        <is>
          <t>Cliente · listado 14/09</t>
        </is>
      </c>
      <c r="F73" s="5" t="inlineStr">
        <is>
          <t>F1</t>
        </is>
      </c>
      <c r="G73" s="5" t="inlineStr">
        <is>
          <t>F1.1</t>
        </is>
      </c>
      <c r="H73" s="5" t="inlineStr">
        <is>
          <t>I</t>
        </is>
      </c>
      <c r="I73" s="5" t="inlineStr">
        <is>
          <t>La afinación estándar es E2 A2 D3 G3 B3 E4.</t>
        </is>
      </c>
      <c r="J73" s="5" t="inlineStr">
        <is>
          <t>Cumple</t>
        </is>
      </c>
      <c r="K73" s="5" t="inlineStr">
        <is>
          <t>0.1.0</t>
        </is>
      </c>
      <c r="L73" s="5" t="inlineStr">
        <is>
          <t>F1.1 #14</t>
        </is>
      </c>
      <c r="M73" s="5" t="inlineStr">
        <is>
          <t>Pendiente</t>
        </is>
      </c>
      <c r="N73" s="5" t="inlineStr">
        <is>
          <t>Auditor de requisitos</t>
        </is>
      </c>
      <c r="O73" s="5" t="inlineStr"/>
      <c r="P73" s="6" t="n"/>
      <c r="Q73" s="5" t="inlineStr"/>
    </row>
    <row r="74" ht="48" customHeight="1">
      <c r="A74" s="4" t="inlineStr">
        <is>
          <t>A-07</t>
        </is>
      </c>
      <c r="B74" s="5" t="inlineStr">
        <is>
          <t>Afinador</t>
        </is>
      </c>
      <c r="C74" s="5" t="inlineStr">
        <is>
          <t>Cinco afinaciones alternativas predefinidas: Drop D, medio tono abajo, Open G, Open D y DADGAD.</t>
        </is>
      </c>
      <c r="D74" s="5" t="inlineStr">
        <is>
          <t>Alta</t>
        </is>
      </c>
      <c r="E74" s="5" t="inlineStr">
        <is>
          <t>Cliente · listado 14/09</t>
        </is>
      </c>
      <c r="F74" s="5" t="inlineStr">
        <is>
          <t>F1</t>
        </is>
      </c>
      <c r="G74" s="5" t="inlineStr">
        <is>
          <t>F1.1</t>
        </is>
      </c>
      <c r="H74" s="5" t="inlineStr">
        <is>
          <t>I</t>
        </is>
      </c>
      <c r="I74" s="5" t="inlineStr">
        <is>
          <t>Existen Drop D, medio tono abajo, Open G, Open D y DADGAD con sus notas correctas.</t>
        </is>
      </c>
      <c r="J74" s="5" t="inlineStr">
        <is>
          <t>Cumple</t>
        </is>
      </c>
      <c r="K74" s="5" t="inlineStr">
        <is>
          <t>0.1.0</t>
        </is>
      </c>
      <c r="L74" s="5" t="inlineStr">
        <is>
          <t>F1.1 #14</t>
        </is>
      </c>
      <c r="M74" s="5" t="inlineStr">
        <is>
          <t>Pendiente</t>
        </is>
      </c>
      <c r="N74" s="5" t="inlineStr">
        <is>
          <t>Auditor de requisitos</t>
        </is>
      </c>
      <c r="O74" s="5" t="inlineStr"/>
      <c r="P74" s="6" t="n"/>
      <c r="Q74" s="5" t="inlineStr"/>
    </row>
    <row r="75" ht="33" customHeight="1">
      <c r="A75" s="4" t="inlineStr">
        <is>
          <t>A-08</t>
        </is>
      </c>
      <c r="B75" s="5" t="inlineStr">
        <is>
          <t>Afinador</t>
        </is>
      </c>
      <c r="C75" s="5" t="inlineStr">
        <is>
          <t>Afinación personalizada ajustando cada cuerda por semitonos.</t>
        </is>
      </c>
      <c r="D75" s="5" t="inlineStr">
        <is>
          <t>Alta</t>
        </is>
      </c>
      <c r="E75" s="5" t="inlineStr">
        <is>
          <t>Cliente · listado 14/09</t>
        </is>
      </c>
      <c r="F75" s="5" t="inlineStr">
        <is>
          <t>F1</t>
        </is>
      </c>
      <c r="G75" s="5" t="inlineStr">
        <is>
          <t>F1.1</t>
        </is>
      </c>
      <c r="H75" s="5" t="inlineStr">
        <is>
          <t>D</t>
        </is>
      </c>
      <c r="I75" s="5" t="inlineStr">
        <is>
          <t>Los botones +/− mueven la cuerda un semitono y pasan a Personalizada sin alterar los presets.</t>
        </is>
      </c>
      <c r="J75" s="5" t="inlineStr">
        <is>
          <t>Cumple</t>
        </is>
      </c>
      <c r="K75" s="5" t="inlineStr">
        <is>
          <t>0.1.0</t>
        </is>
      </c>
      <c r="L75" s="5" t="inlineStr">
        <is>
          <t>F1.1 #4</t>
        </is>
      </c>
      <c r="M75" s="5" t="inlineStr">
        <is>
          <t>Pendiente</t>
        </is>
      </c>
      <c r="N75" s="5" t="inlineStr">
        <is>
          <t>Cliente</t>
        </is>
      </c>
      <c r="O75" s="5" t="inlineStr">
        <is>
          <t>Cualquier ajuste convierte la afinación en personalizada sin alterar los presets.</t>
        </is>
      </c>
      <c r="P75" s="6" t="n"/>
      <c r="Q75" s="5" t="inlineStr"/>
    </row>
    <row r="76" ht="33" customHeight="1">
      <c r="A76" s="4" t="inlineStr">
        <is>
          <t>A-09</t>
        </is>
      </c>
      <c r="B76" s="5" t="inlineStr">
        <is>
          <t>Afinador</t>
        </is>
      </c>
      <c r="C76" s="5" t="inlineStr">
        <is>
          <t>Al seleccionar una afinación se muestran sus notas en un pentagrama.</t>
        </is>
      </c>
      <c r="D76" s="5" t="inlineStr">
        <is>
          <t>Media</t>
        </is>
      </c>
      <c r="E76" s="5" t="inlineStr">
        <is>
          <t>Cliente · listado 14/09</t>
        </is>
      </c>
      <c r="F76" s="5" t="inlineStr">
        <is>
          <t>F1</t>
        </is>
      </c>
      <c r="G76" s="5" t="inlineStr">
        <is>
          <t>F1.1</t>
        </is>
      </c>
      <c r="H76" s="5" t="inlineStr">
        <is>
          <t>D</t>
        </is>
      </c>
      <c r="I76" s="5" t="inlineStr">
        <is>
          <t>El pentagrama del afinador refleja la afinación seleccionada.</t>
        </is>
      </c>
      <c r="J76" s="5" t="inlineStr">
        <is>
          <t>Cumple</t>
        </is>
      </c>
      <c r="K76" s="5" t="inlineStr">
        <is>
          <t>0.1.0</t>
        </is>
      </c>
      <c r="L76" s="5" t="inlineStr">
        <is>
          <t>F1.1 #14</t>
        </is>
      </c>
      <c r="M76" s="5" t="inlineStr">
        <is>
          <t>Pendiente</t>
        </is>
      </c>
      <c r="N76" s="5" t="inlineStr">
        <is>
          <t>Cliente</t>
        </is>
      </c>
      <c r="O76" s="5" t="inlineStr">
        <is>
          <t>Ver P-04.</t>
        </is>
      </c>
      <c r="P76" s="6" t="n"/>
      <c r="Q76" s="5" t="inlineStr"/>
    </row>
    <row r="77" ht="48" customHeight="1">
      <c r="A77" s="4" t="inlineStr">
        <is>
          <t>A-10</t>
        </is>
      </c>
      <c r="B77" s="5" t="inlineStr">
        <is>
          <t>Afinador</t>
        </is>
      </c>
      <c r="C77" s="5" t="inlineStr">
        <is>
          <t>La afinación activa se aplica también a los modos de aprendizaje.</t>
        </is>
      </c>
      <c r="D77" s="5" t="inlineStr">
        <is>
          <t>Alta</t>
        </is>
      </c>
      <c r="E77" s="5" t="inlineStr">
        <is>
          <t>Cliente · listado 14/09</t>
        </is>
      </c>
      <c r="F77" s="5" t="inlineStr">
        <is>
          <t>F1</t>
        </is>
      </c>
      <c r="G77" s="5" t="inlineStr">
        <is>
          <t>F1.1</t>
        </is>
      </c>
      <c r="H77" s="5" t="inlineStr">
        <is>
          <t>T</t>
        </is>
      </c>
      <c r="I77" s="5" t="inlineStr">
        <is>
          <t>Al cambiar de afinación, el mástil y los retos se rehacen con las nuevas notas.</t>
        </is>
      </c>
      <c r="J77" s="5" t="inlineStr">
        <is>
          <t>Cumple</t>
        </is>
      </c>
      <c r="K77" s="5" t="inlineStr">
        <is>
          <t>0.1.0</t>
        </is>
      </c>
      <c r="L77" s="5" t="inlineStr">
        <is>
          <t>Banco (node --test): Drop D</t>
        </is>
      </c>
      <c r="M77" s="5" t="inlineStr">
        <is>
          <t>Verificado parcialmente</t>
        </is>
      </c>
      <c r="N77" s="5" t="inlineStr">
        <is>
          <t>Banco automático + auditor técnico</t>
        </is>
      </c>
      <c r="O77" s="5" t="inlineStr">
        <is>
          <t>Ninguna nota está escrita a mano: todas derivan de la afinación activa, y la propagación ocurre en un único punto del código.</t>
        </is>
      </c>
      <c r="P77" s="6" t="n"/>
      <c r="Q77" s="5" t="inlineStr"/>
    </row>
    <row r="78" ht="33" customHeight="1">
      <c r="A78" s="4" t="inlineStr">
        <is>
          <t>A-11</t>
        </is>
      </c>
      <c r="B78" s="5" t="inlineStr">
        <is>
          <t>Afinador</t>
        </is>
      </c>
      <c r="C78" s="5" t="inlineStr">
        <is>
          <t>La afinación persiste entre sesiones.</t>
        </is>
      </c>
      <c r="D78" s="5" t="inlineStr">
        <is>
          <t>Media</t>
        </is>
      </c>
      <c r="E78" s="5" t="inlineStr">
        <is>
          <t>Cliente · listado 14/09</t>
        </is>
      </c>
      <c r="F78" s="5" t="inlineStr">
        <is>
          <t>F1</t>
        </is>
      </c>
      <c r="G78" s="5" t="inlineStr">
        <is>
          <t>F1.1</t>
        </is>
      </c>
      <c r="H78" s="5" t="inlineStr">
        <is>
          <t>D</t>
        </is>
      </c>
      <c r="I78" s="5" t="inlineStr">
        <is>
          <t>Tras recargar se mantiene la afinación, incluida la personalizada.</t>
        </is>
      </c>
      <c r="J78" s="5" t="inlineStr">
        <is>
          <t>Cumple</t>
        </is>
      </c>
      <c r="K78" s="5" t="inlineStr">
        <is>
          <t>0.1.0</t>
        </is>
      </c>
      <c r="L78" s="5" t="inlineStr">
        <is>
          <t>F1.1 #13</t>
        </is>
      </c>
      <c r="M78" s="5" t="inlineStr">
        <is>
          <t>Pendiente</t>
        </is>
      </c>
      <c r="N78" s="5" t="inlineStr">
        <is>
          <t>Cliente</t>
        </is>
      </c>
      <c r="O78" s="5" t="inlineStr"/>
      <c r="P78" s="6" t="n"/>
      <c r="Q78" s="5" t="inlineStr"/>
    </row>
    <row r="79" ht="120" customHeight="1">
      <c r="A79" s="4" t="inlineStr">
        <is>
          <t>V-01</t>
        </is>
      </c>
      <c r="B79" s="5" t="inlineStr">
        <is>
          <t>Visualización</t>
        </is>
      </c>
      <c r="C79" s="5" t="inlineStr">
        <is>
          <t>En móvil se sugiere la orientación horizontal con un aviso discreto; no se fuerza.</t>
        </is>
      </c>
      <c r="D79" s="5" t="inlineStr">
        <is>
          <t>Alta</t>
        </is>
      </c>
      <c r="E79" s="5" t="inlineStr">
        <is>
          <t>Cliente · 20/10 (interfaz.md v1.0)</t>
        </is>
      </c>
      <c r="F79" s="5" t="inlineStr">
        <is>
          <t>F3</t>
        </is>
      </c>
      <c r="G79" s="5" t="inlineStr">
        <is>
          <t>F3.2</t>
        </is>
      </c>
      <c r="H79" s="5" t="inlineStr">
        <is>
          <t>D</t>
        </is>
      </c>
      <c r="I79" s="5" t="inlineStr">
        <is>
          <t>En horizontal, con un alto útil de 268 px o más, cada cuerda mide al menos 40 px (iPhone en Safari e instalada; simulador de Android). En vertical, en pantallas táctiles de menos de 600 px y en Libre, Adivinar y Escalas, aparece el aviso para girar; nunca en el Afinador; cerrado, no vuelve y «Restablecer» lo recupera.</t>
        </is>
      </c>
      <c r="J79" s="5" t="inlineStr">
        <is>
          <t>Cumple parcialmente</t>
        </is>
      </c>
      <c r="K79" s="5" t="inlineStr">
        <is>
          <t>0.1.0</t>
        </is>
      </c>
      <c r="L79" s="5" t="inlineStr">
        <is>
          <t>interfaz.md §7: bocetos medidos (52 px en el iPhone, 42 px en Android)</t>
        </is>
      </c>
      <c r="M79" s="5" t="inlineStr">
        <is>
          <t>Pendiente</t>
        </is>
      </c>
      <c r="N79" s="5" t="inlineStr">
        <is>
          <t>Cliente</t>
        </is>
      </c>
      <c r="O79" s="5" t="inlineStr">
        <is>
          <t>Criterio concreto el 20/10 (interfaz.md v1.0, aprobada el 20/10): el aviso sale solo en pantallas táctiles (pointer: coarse) en vertical de menos de 600 px de ancho, en Libre, Adivinar y Escalas, y nunca en el Afinador; si lo cierras, no vuelve (se guarda con los ajustes) y «Restablecer» lo recupera. En horizontal, raíl, mástil a todo el alto y panel: los bocetos dan 52 px por cuerda en el iPhone y 42 en un Android de 280 px de alto; los 40 px se exigen con un alto útil de 268 px o más. El bloqueo de orientación tiene mal soporte en iOS, así que no se fuerza.</t>
        </is>
      </c>
      <c r="P79" s="6" t="n"/>
      <c r="Q79" s="5" t="inlineStr">
        <is>
          <t>Modificado</t>
        </is>
      </c>
    </row>
    <row r="80" ht="33" customHeight="1">
      <c r="A80" s="4" t="inlineStr">
        <is>
          <t>V-02</t>
        </is>
      </c>
      <c r="B80" s="5" t="inlineStr">
        <is>
          <t>Visualización</t>
        </is>
      </c>
      <c r="C80" s="5" t="inlineStr">
        <is>
          <t>El afinador funciona en vertical y en horizontal.</t>
        </is>
      </c>
      <c r="D80" s="5" t="inlineStr">
        <is>
          <t>Alta</t>
        </is>
      </c>
      <c r="E80" s="5" t="inlineStr">
        <is>
          <t>Cliente · listado 14/09</t>
        </is>
      </c>
      <c r="F80" s="5" t="inlineStr">
        <is>
          <t>F1</t>
        </is>
      </c>
      <c r="G80" s="5" t="inlineStr">
        <is>
          <t>F1.1</t>
        </is>
      </c>
      <c r="H80" s="5" t="inlineStr">
        <is>
          <t>D</t>
        </is>
      </c>
      <c r="I80" s="5" t="inlineStr">
        <is>
          <t>El afinador se usa con comodidad en vertical y en horizontal.</t>
        </is>
      </c>
      <c r="J80" s="5" t="inlineStr">
        <is>
          <t>Cumple</t>
        </is>
      </c>
      <c r="K80" s="5" t="inlineStr">
        <is>
          <t>0.1.0</t>
        </is>
      </c>
      <c r="L80" s="5" t="inlineStr">
        <is>
          <t>F1.1 #14</t>
        </is>
      </c>
      <c r="M80" s="5" t="inlineStr">
        <is>
          <t>Pendiente</t>
        </is>
      </c>
      <c r="N80" s="5" t="inlineStr">
        <is>
          <t>Cliente</t>
        </is>
      </c>
      <c r="O80" s="5" t="inlineStr"/>
      <c r="P80" s="6" t="n"/>
      <c r="Q80" s="5" t="inlineStr"/>
    </row>
    <row r="81" ht="33" customHeight="1">
      <c r="A81" s="4" t="inlineStr">
        <is>
          <t>V-03</t>
        </is>
      </c>
      <c r="B81" s="5" t="inlineStr">
        <is>
          <t>Visualización</t>
        </is>
      </c>
      <c r="C81" s="5" t="inlineStr">
        <is>
          <t>En escritorio el mástil aprovecha el ancho disponible.</t>
        </is>
      </c>
      <c r="D81" s="5" t="inlineStr">
        <is>
          <t>Alta</t>
        </is>
      </c>
      <c r="E81" s="5" t="inlineStr">
        <is>
          <t>Cliente · listado 14/09</t>
        </is>
      </c>
      <c r="F81" s="5" t="inlineStr">
        <is>
          <t>F1</t>
        </is>
      </c>
      <c r="G81" s="5" t="inlineStr">
        <is>
          <t>F1.1</t>
        </is>
      </c>
      <c r="H81" s="5" t="inlineStr">
        <is>
          <t>D</t>
        </is>
      </c>
      <c r="I81" s="5" t="inlineStr">
        <is>
          <t>En una pantalla de 1280 px se ven los 24 trastes sin desplazarse.</t>
        </is>
      </c>
      <c r="J81" s="5" t="inlineStr">
        <is>
          <t>Cumple</t>
        </is>
      </c>
      <c r="K81" s="5" t="inlineStr">
        <is>
          <t>0.1.0</t>
        </is>
      </c>
      <c r="L81" s="5" t="inlineStr">
        <is>
          <t>F1.1 #14</t>
        </is>
      </c>
      <c r="M81" s="5" t="inlineStr">
        <is>
          <t>Pendiente</t>
        </is>
      </c>
      <c r="N81" s="5" t="inlineStr">
        <is>
          <t>Cliente</t>
        </is>
      </c>
      <c r="O81" s="5" t="inlineStr">
        <is>
          <t>Arranca mostrando el mástil completo en pantallas anchas.</t>
        </is>
      </c>
      <c r="P81" s="6" t="n"/>
      <c r="Q81" s="5" t="inlineStr"/>
    </row>
    <row r="82" ht="120" customHeight="1">
      <c r="A82" s="4" t="inlineStr">
        <is>
          <t>V-04</t>
        </is>
      </c>
      <c r="B82" s="5" t="inlineStr">
        <is>
          <t>Visualización</t>
        </is>
      </c>
      <c r="C82" s="5" t="inlineStr">
        <is>
          <t>Control de zoom que determina qué porción del mástil se ve.</t>
        </is>
      </c>
      <c r="D82" s="5" t="inlineStr">
        <is>
          <t>Alta</t>
        </is>
      </c>
      <c r="E82" s="5" t="inlineStr">
        <is>
          <t>Cliente · 20/10 (interfaz.md v1.0)</t>
        </is>
      </c>
      <c r="F82" s="5" t="inlineStr">
        <is>
          <t>F1 · F3</t>
        </is>
      </c>
      <c r="G82" s="5" t="inlineStr">
        <is>
          <t>F1.1 · F3.2</t>
        </is>
      </c>
      <c r="H82" s="5" t="inlineStr">
        <is>
          <t>D</t>
        </is>
      </c>
      <c r="I82" s="5" t="inlineStr">
        <is>
          <t>El zoom cambia los trastes visibles entre 3 y el máximo que cabe, y la etiqueta dice la cifra real. Con pointer: coarse, un traste mide al menos 40 px y el zoom guardado se ajusta a ese límite.</t>
        </is>
      </c>
      <c r="J82" s="5" t="inlineStr">
        <is>
          <t>Cumple parcialmente</t>
        </is>
      </c>
      <c r="K82" s="5" t="inlineStr">
        <is>
          <t>0.1.0</t>
        </is>
      </c>
      <c r="L82" s="5" t="inlineStr">
        <is>
          <t>F1.1 #7 y #8</t>
        </is>
      </c>
      <c r="M82" s="5" t="inlineStr">
        <is>
          <t>Verificado parcialmente</t>
        </is>
      </c>
      <c r="N82" s="5" t="inlineStr">
        <is>
          <t>Cliente</t>
        </is>
      </c>
      <c r="O82" s="5" t="inlineStr">
        <is>
          <t>De 3 a 24 trastes a la vista. Desde 0.1.1 la etiqueta indica los trastes que caben de verdad, y el zoom conserva el tramo que estabas mirando. Añadido el 20/10 (interfaz.md v1.0, aprobada el 20/10): con pointer: coarse, un traste mide al menos 40 px y el zoom guardado se ajusta a ese límite; en el iPhone en vertical quedan como mucho 8 trastes a la vista. Se hace en F3.2.</t>
        </is>
      </c>
      <c r="P82" s="6" t="n"/>
      <c r="Q82" s="5" t="inlineStr">
        <is>
          <t>Modificado</t>
        </is>
      </c>
    </row>
    <row r="83" ht="33" customHeight="1">
      <c r="A83" s="4" t="inlineStr">
        <is>
          <t>V-05</t>
        </is>
      </c>
      <c r="B83" s="5" t="inlineStr">
        <is>
          <t>Visualización</t>
        </is>
      </c>
      <c r="C83" s="5" t="inlineStr">
        <is>
          <t>Cuando el mástil no cabe, el usuario se desplaza lateralmente.</t>
        </is>
      </c>
      <c r="D83" s="5" t="inlineStr">
        <is>
          <t>Alta</t>
        </is>
      </c>
      <c r="E83" s="5" t="inlineStr">
        <is>
          <t>Cliente · listado 14/09</t>
        </is>
      </c>
      <c r="F83" s="5" t="inlineStr">
        <is>
          <t>F1</t>
        </is>
      </c>
      <c r="G83" s="5" t="inlineStr">
        <is>
          <t>F1.1</t>
        </is>
      </c>
      <c r="H83" s="5" t="inlineStr">
        <is>
          <t>D</t>
        </is>
      </c>
      <c r="I83" s="5" t="inlineStr">
        <is>
          <t>Con el mástil más ancho que la pantalla se puede desplazar hasta el traste 24.</t>
        </is>
      </c>
      <c r="J83" s="5" t="inlineStr">
        <is>
          <t>Cumple</t>
        </is>
      </c>
      <c r="K83" s="5" t="inlineStr">
        <is>
          <t>0.1.0</t>
        </is>
      </c>
      <c r="L83" s="5" t="inlineStr">
        <is>
          <t>F1.1 #14</t>
        </is>
      </c>
      <c r="M83" s="5" t="inlineStr">
        <is>
          <t>Pendiente</t>
        </is>
      </c>
      <c r="N83" s="5" t="inlineStr">
        <is>
          <t>Cliente</t>
        </is>
      </c>
      <c r="O83" s="5" t="inlineStr"/>
      <c r="P83" s="6" t="n"/>
      <c r="Q83" s="5" t="inlineStr"/>
    </row>
    <row r="84" ht="48" customHeight="1">
      <c r="A84" s="4" t="inlineStr">
        <is>
          <t>V-06</t>
        </is>
      </c>
      <c r="B84" s="5" t="inlineStr">
        <is>
          <t>Visualización</t>
        </is>
      </c>
      <c r="C84" s="5" t="inlineStr">
        <is>
          <t>El ancho de traste no cambia al desplazarse: el zoom fija el tamaño y el desplazamiento mueve la ventana.</t>
        </is>
      </c>
      <c r="D84" s="5" t="inlineStr">
        <is>
          <t>Alta</t>
        </is>
      </c>
      <c r="E84" s="5" t="inlineStr">
        <is>
          <t>Cliente · listado 14/09</t>
        </is>
      </c>
      <c r="F84" s="5" t="inlineStr">
        <is>
          <t>F1</t>
        </is>
      </c>
      <c r="G84" s="5" t="inlineStr">
        <is>
          <t>F1.1</t>
        </is>
      </c>
      <c r="H84" s="5" t="inlineStr">
        <is>
          <t>D</t>
        </is>
      </c>
      <c r="I84" s="5" t="inlineStr">
        <is>
          <t>Desplazarse no cambia el ancho de los trastes.</t>
        </is>
      </c>
      <c r="J84" s="5" t="inlineStr">
        <is>
          <t>Cumple</t>
        </is>
      </c>
      <c r="K84" s="5" t="inlineStr">
        <is>
          <t>0.1.0</t>
        </is>
      </c>
      <c r="L84" s="5" t="inlineStr">
        <is>
          <t>F1.1 #7</t>
        </is>
      </c>
      <c r="M84" s="5" t="inlineStr">
        <is>
          <t>Pendiente</t>
        </is>
      </c>
      <c r="N84" s="5" t="inlineStr">
        <is>
          <t>Cliente</t>
        </is>
      </c>
      <c r="O84" s="5" t="inlineStr"/>
      <c r="P84" s="6" t="n"/>
      <c r="Q84" s="5" t="inlineStr"/>
    </row>
    <row r="85" ht="33" customHeight="1">
      <c r="A85" s="4" t="inlineStr">
        <is>
          <t>V-07</t>
        </is>
      </c>
      <c r="B85" s="5" t="inlineStr">
        <is>
          <t>Visualización</t>
        </is>
      </c>
      <c r="C85" s="5" t="inlineStr">
        <is>
          <t>El mástil se readapta al redimensionar la ventana.</t>
        </is>
      </c>
      <c r="D85" s="5" t="inlineStr">
        <is>
          <t>Alta</t>
        </is>
      </c>
      <c r="E85" s="5" t="inlineStr">
        <is>
          <t>Cliente · listado 14/09</t>
        </is>
      </c>
      <c r="F85" s="5" t="inlineStr">
        <is>
          <t>F1</t>
        </is>
      </c>
      <c r="G85" s="5" t="inlineStr">
        <is>
          <t>F1.1</t>
        </is>
      </c>
      <c r="H85" s="5" t="inlineStr">
        <is>
          <t>D</t>
        </is>
      </c>
      <c r="I85" s="5" t="inlineStr">
        <is>
          <t>Al redimensionar la ventana el mástil se reajusta sin perder el tramo visible.</t>
        </is>
      </c>
      <c r="J85" s="5" t="inlineStr">
        <is>
          <t>Cumple</t>
        </is>
      </c>
      <c r="K85" s="5" t="inlineStr">
        <is>
          <t>0.1.0</t>
        </is>
      </c>
      <c r="L85" s="5" t="inlineStr">
        <is>
          <t>F1.1 #7</t>
        </is>
      </c>
      <c r="M85" s="5" t="inlineStr">
        <is>
          <t>Pendiente</t>
        </is>
      </c>
      <c r="N85" s="5" t="inlineStr">
        <is>
          <t>Cliente</t>
        </is>
      </c>
      <c r="O85" s="5" t="inlineStr"/>
      <c r="P85" s="6" t="n"/>
      <c r="Q85" s="5" t="inlineStr"/>
    </row>
    <row r="86" ht="33" customHeight="1">
      <c r="A86" s="4" t="inlineStr">
        <is>
          <t>V-08</t>
        </is>
      </c>
      <c r="B86" s="5" t="inlineStr">
        <is>
          <t>Visualización</t>
        </is>
      </c>
      <c r="C86" s="5" t="inlineStr">
        <is>
          <t>El nivel de zoom persiste entre sesiones.</t>
        </is>
      </c>
      <c r="D86" s="5" t="inlineStr">
        <is>
          <t>Baja</t>
        </is>
      </c>
      <c r="E86" s="5" t="inlineStr">
        <is>
          <t>Cliente · listado 14/09</t>
        </is>
      </c>
      <c r="F86" s="5" t="inlineStr">
        <is>
          <t>F1</t>
        </is>
      </c>
      <c r="G86" s="5" t="inlineStr">
        <is>
          <t>F1.1</t>
        </is>
      </c>
      <c r="H86" s="5" t="inlineStr">
        <is>
          <t>D</t>
        </is>
      </c>
      <c r="I86" s="5" t="inlineStr">
        <is>
          <t>El zoom se mantiene tras recargar y tras girar el móvil.</t>
        </is>
      </c>
      <c r="J86" s="5" t="inlineStr">
        <is>
          <t>Cumple</t>
        </is>
      </c>
      <c r="K86" s="5" t="inlineStr">
        <is>
          <t>0.1.0</t>
        </is>
      </c>
      <c r="L86" s="5" t="inlineStr">
        <is>
          <t>F1.1 #13</t>
        </is>
      </c>
      <c r="M86" s="5" t="inlineStr">
        <is>
          <t>Pendiente</t>
        </is>
      </c>
      <c r="N86" s="5" t="inlineStr">
        <is>
          <t>Cliente</t>
        </is>
      </c>
      <c r="O86" s="5" t="inlineStr">
        <is>
          <t>Desde 0.1.1 girar el móvil ya no pisa el zoom elegido.</t>
        </is>
      </c>
      <c r="P86" s="6" t="n"/>
      <c r="Q86" s="5" t="inlineStr"/>
    </row>
    <row r="87" ht="48" customHeight="1">
      <c r="A87" s="4" t="inlineStr">
        <is>
          <t>V-09</t>
        </is>
      </c>
      <c r="B87" s="5" t="inlineStr">
        <is>
          <t>Visualización</t>
        </is>
      </c>
      <c r="C87" s="5" t="inlineStr">
        <is>
          <t>Al ocultar la numeración se puede conservar una referencia de tramo: el modo «Guía» deja solo los números de los trastes con marca.</t>
        </is>
      </c>
      <c r="D87" s="5" t="inlineStr">
        <is>
          <t>Media</t>
        </is>
      </c>
      <c r="E87" s="5" t="inlineStr">
        <is>
          <t>AR-01</t>
        </is>
      </c>
      <c r="F87" s="5" t="inlineStr">
        <is>
          <t>F1</t>
        </is>
      </c>
      <c r="G87" s="5" t="inlineStr">
        <is>
          <t>F1.3</t>
        </is>
      </c>
      <c r="H87" s="5" t="inlineStr">
        <is>
          <t>T</t>
        </is>
      </c>
      <c r="I87" s="5" t="inlineStr">
        <is>
          <t>El modo Guía mantiene visibles solo los números de los trastes con marca.</t>
        </is>
      </c>
      <c r="J87" s="5" t="inlineStr">
        <is>
          <t>Cumple</t>
        </is>
      </c>
      <c r="K87" s="5" t="inlineStr">
        <is>
          <t>0.1.2</t>
        </is>
      </c>
      <c r="L87" s="5" t="inlineStr">
        <is>
          <t>Banco (node --test) · F1.1 #11</t>
        </is>
      </c>
      <c r="M87" s="5" t="inlineStr">
        <is>
          <t>Verificado parcialmente</t>
        </is>
      </c>
      <c r="N87" s="5" t="inlineStr">
        <is>
          <t>Banco automático + auditor técnico</t>
        </is>
      </c>
      <c r="O87" s="5" t="inlineStr">
        <is>
          <t>Sin números, los trastes 5 y 17 llevan la misma marca y se confunden. Se descartó el minimapa por desproporcionado.</t>
        </is>
      </c>
      <c r="P87" s="6" t="n"/>
      <c r="Q87" s="5" t="inlineStr"/>
    </row>
    <row r="88" ht="48" customHeight="1">
      <c r="A88" s="4" t="inlineStr">
        <is>
          <t>C-01</t>
        </is>
      </c>
      <c r="B88" s="5" t="inlineStr">
        <is>
          <t>Configuración y navegación</t>
        </is>
      </c>
      <c r="C88" s="5" t="inlineStr">
        <is>
          <t>Menú de configuración accesible desde cualquier pantalla.</t>
        </is>
      </c>
      <c r="D88" s="5" t="inlineStr">
        <is>
          <t>Alta</t>
        </is>
      </c>
      <c r="E88" s="5" t="inlineStr">
        <is>
          <t>Cliente · listado 14/09</t>
        </is>
      </c>
      <c r="F88" s="5" t="inlineStr">
        <is>
          <t>F1</t>
        </is>
      </c>
      <c r="G88" s="5" t="inlineStr">
        <is>
          <t>F1.1</t>
        </is>
      </c>
      <c r="H88" s="5" t="inlineStr">
        <is>
          <t>D</t>
        </is>
      </c>
      <c r="I88" s="5" t="inlineStr">
        <is>
          <t>El botón de Ajustes abre el panel desde cualquier pantalla y Escape lo cierra.</t>
        </is>
      </c>
      <c r="J88" s="5" t="inlineStr">
        <is>
          <t>Cumple</t>
        </is>
      </c>
      <c r="K88" s="5" t="inlineStr">
        <is>
          <t>0.1.0</t>
        </is>
      </c>
      <c r="L88" s="5" t="inlineStr">
        <is>
          <t>F1.1 #14</t>
        </is>
      </c>
      <c r="M88" s="5" t="inlineStr">
        <is>
          <t>Pendiente</t>
        </is>
      </c>
      <c r="N88" s="5" t="inlineStr">
        <is>
          <t>Cliente</t>
        </is>
      </c>
      <c r="O88" s="5" t="inlineStr">
        <is>
          <t>Hoja que sube desde abajo en vertical; panel lateral en horizontal y en pantallas amplias (interfaz.md v1.0, aprobada el 20/10).</t>
        </is>
      </c>
      <c r="P88" s="6" t="n"/>
      <c r="Q88" s="5" t="inlineStr">
        <is>
          <t>Modificado</t>
        </is>
      </c>
    </row>
    <row r="89" ht="78" customHeight="1">
      <c r="A89" s="4" t="inlineStr">
        <is>
          <t>C-02</t>
        </is>
      </c>
      <c r="B89" s="5" t="inlineStr">
        <is>
          <t>Configuración y navegación</t>
        </is>
      </c>
      <c r="C89" s="5" t="inlineStr">
        <is>
          <t>El menú contiene nomenclatura, pentagrama, timbre, numeración de trastes (tres modos), ver todas las notas, señalar iguales y afinación activa, y muestra la versión de la app.</t>
        </is>
      </c>
      <c r="D89" s="5" t="inlineStr">
        <is>
          <t>Alta</t>
        </is>
      </c>
      <c r="E89" s="5" t="inlineStr">
        <is>
          <t>Cliente · listado 14/09</t>
        </is>
      </c>
      <c r="F89" s="5" t="inlineStr">
        <is>
          <t>F1</t>
        </is>
      </c>
      <c r="G89" s="5" t="inlineStr">
        <is>
          <t>F1.1</t>
        </is>
      </c>
      <c r="H89" s="5" t="inlineStr">
        <is>
          <t>I</t>
        </is>
      </c>
      <c r="I89" s="5" t="inlineStr">
        <is>
          <t>El panel contiene todos los ajustes listados y la versión de la app.</t>
        </is>
      </c>
      <c r="J89" s="5" t="inlineStr">
        <is>
          <t>Cumple</t>
        </is>
      </c>
      <c r="K89" s="5" t="inlineStr">
        <is>
          <t>0.1.0</t>
        </is>
      </c>
      <c r="L89" s="5" t="inlineStr">
        <is>
          <t>F1.1 #12</t>
        </is>
      </c>
      <c r="M89" s="5" t="inlineStr">
        <is>
          <t>Pendiente</t>
        </is>
      </c>
      <c r="N89" s="5" t="inlineStr">
        <is>
          <t>Auditor de requisitos</t>
        </is>
      </c>
      <c r="O89" s="5" t="inlineStr">
        <is>
          <t>Ampliado en 0.1.2 con la numeración en tres modos y la versión (G-10). En F6.4 se añade el grupo «Acerca de», con los créditos (G-06) y la privacidad (G-11) (interfaz.md v1.0, aprobada el 20/10).</t>
        </is>
      </c>
      <c r="P89" s="6" t="n"/>
      <c r="Q89" s="5" t="inlineStr">
        <is>
          <t>Modificado</t>
        </is>
      </c>
    </row>
    <row r="90" ht="78" customHeight="1">
      <c r="A90" s="4" t="inlineStr">
        <is>
          <t>C-03</t>
        </is>
      </c>
      <c r="B90" s="5" t="inlineStr">
        <is>
          <t>Configuración y navegación</t>
        </is>
      </c>
      <c r="C90" s="5" t="inlineStr">
        <is>
          <t>Los ajustes frecuentes tienen acceso rápido sin abrir el menú.</t>
        </is>
      </c>
      <c r="D90" s="5" t="inlineStr">
        <is>
          <t>Alta</t>
        </is>
      </c>
      <c r="E90" s="5" t="inlineStr">
        <is>
          <t>Cliente · listado 14/09</t>
        </is>
      </c>
      <c r="F90" s="5" t="inlineStr">
        <is>
          <t>F1</t>
        </is>
      </c>
      <c r="G90" s="5" t="inlineStr">
        <is>
          <t>F1.1</t>
        </is>
      </c>
      <c r="H90" s="5" t="inlineStr">
        <is>
          <t>D</t>
        </is>
      </c>
      <c r="I90" s="5" t="inlineStr">
        <is>
          <t>Nomenclatura, pentagrama y pistas tienen chips de acceso rápido.</t>
        </is>
      </c>
      <c r="J90" s="5" t="inlineStr">
        <is>
          <t>Cumple</t>
        </is>
      </c>
      <c r="K90" s="5" t="inlineStr">
        <is>
          <t>0.1.0</t>
        </is>
      </c>
      <c r="L90" s="5" t="inlineStr">
        <is>
          <t>F1.1 #14</t>
        </is>
      </c>
      <c r="M90" s="5" t="inlineStr">
        <is>
          <t>Pendiente</t>
        </is>
      </c>
      <c r="N90" s="5" t="inlineStr">
        <is>
          <t>Cliente</t>
        </is>
      </c>
      <c r="O90" s="5" t="inlineStr">
        <is>
          <t>Nomenclatura y pentagrama en chips bajo la cabecera, o en el panel en horizontal; las dos pistas del juego, en la tarjeta del reto desde F3.2 (interfaz.md v1.0, aprobada el 20/10).</t>
        </is>
      </c>
      <c r="P90" s="6" t="n"/>
      <c r="Q90" s="5" t="inlineStr">
        <is>
          <t>Modificado</t>
        </is>
      </c>
    </row>
    <row r="91" ht="63" customHeight="1">
      <c r="A91" s="4" t="inlineStr">
        <is>
          <t>C-04</t>
        </is>
      </c>
      <c r="B91" s="5" t="inlineStr">
        <is>
          <t>Configuración y navegación</t>
        </is>
      </c>
      <c r="C91" s="5" t="inlineStr">
        <is>
          <t>Navegación principal clara entre las áreas de la app.</t>
        </is>
      </c>
      <c r="D91" s="5" t="inlineStr">
        <is>
          <t>Alta</t>
        </is>
      </c>
      <c r="E91" s="5" t="inlineStr">
        <is>
          <t>Cliente · 20/10 (interfaz.md v1.0)</t>
        </is>
      </c>
      <c r="F91" s="5" t="inlineStr">
        <is>
          <t>F1</t>
        </is>
      </c>
      <c r="G91" s="5" t="inlineStr">
        <is>
          <t>F1.1</t>
        </is>
      </c>
      <c r="H91" s="5" t="inlineStr">
        <is>
          <t>D</t>
        </is>
      </c>
      <c r="I91" s="5" t="inlineStr">
        <is>
          <t>La navegación (barra inferior, raíl o pestañas en la cabecera, según la disposición) lleva a cada área con un toque.</t>
        </is>
      </c>
      <c r="J91" s="5" t="inlineStr">
        <is>
          <t>Cumple</t>
        </is>
      </c>
      <c r="K91" s="5" t="inlineStr">
        <is>
          <t>0.1.0</t>
        </is>
      </c>
      <c r="L91" s="5" t="inlineStr">
        <is>
          <t>F1.1 #14</t>
        </is>
      </c>
      <c r="M91" s="5" t="inlineStr">
        <is>
          <t>Pendiente</t>
        </is>
      </c>
      <c r="N91" s="5" t="inlineStr">
        <is>
          <t>Cliente</t>
        </is>
      </c>
      <c r="O91" s="5" t="inlineStr">
        <is>
          <t>Barra inferior con cuatro destinos en vertical, raíl a la izquierda en horizontal y pestañas en la cabecera en pantallas amplias (interfaz.md v1.0, aprobada el 20/10).</t>
        </is>
      </c>
      <c r="P91" s="6" t="n"/>
      <c r="Q91" s="5" t="inlineStr">
        <is>
          <t>Modificado</t>
        </is>
      </c>
    </row>
    <row r="92" ht="33" customHeight="1">
      <c r="A92" s="4" t="inlineStr">
        <is>
          <t>C-05</t>
        </is>
      </c>
      <c r="B92" s="5" t="inlineStr">
        <is>
          <t>Configuración y navegación</t>
        </is>
      </c>
      <c r="C92" s="5" t="inlineStr">
        <is>
          <t>Todos los ajustes persisten entre sesiones.</t>
        </is>
      </c>
      <c r="D92" s="5" t="inlineStr">
        <is>
          <t>Media</t>
        </is>
      </c>
      <c r="E92" s="5" t="inlineStr">
        <is>
          <t>Cliente · listado 14/09</t>
        </is>
      </c>
      <c r="F92" s="5" t="inlineStr">
        <is>
          <t>F1</t>
        </is>
      </c>
      <c r="G92" s="5" t="inlineStr">
        <is>
          <t>F1.1</t>
        </is>
      </c>
      <c r="H92" s="5" t="inlineStr">
        <is>
          <t>T</t>
        </is>
      </c>
      <c r="I92" s="5" t="inlineStr">
        <is>
          <t>Todos los ajustes persisten tras recargar, y unos ajustes corruptos o antiguos no rompen la app.</t>
        </is>
      </c>
      <c r="J92" s="5" t="inlineStr">
        <is>
          <t>Cumple</t>
        </is>
      </c>
      <c r="K92" s="5" t="inlineStr">
        <is>
          <t>0.1.0</t>
        </is>
      </c>
      <c r="L92" s="5" t="inlineStr">
        <is>
          <t>Banco (node --test): migración · F1.1 #13</t>
        </is>
      </c>
      <c r="M92" s="5" t="inlineStr">
        <is>
          <t>Verificado parcialmente</t>
        </is>
      </c>
      <c r="N92" s="5" t="inlineStr">
        <is>
          <t>Banco automático + auditor técnico</t>
        </is>
      </c>
      <c r="O92" s="5" t="inlineStr">
        <is>
          <t>Un único objeto de estado, validado campo a campo al leerlo (0.1.1).</t>
        </is>
      </c>
      <c r="P92" s="6" t="n"/>
      <c r="Q92" s="5" t="inlineStr"/>
    </row>
    <row r="93" ht="93" customHeight="1">
      <c r="A93" s="4" t="inlineStr">
        <is>
          <t>C-06</t>
        </is>
      </c>
      <c r="B93" s="5" t="inlineStr">
        <is>
          <t>Configuración y navegación</t>
        </is>
      </c>
      <c r="C93" s="5" t="inlineStr">
        <is>
          <t>Especificación detallada de la interfaz: estructura de menús, jerarquía de controles y flujos de navegación.</t>
        </is>
      </c>
      <c r="D93" s="5" t="inlineStr">
        <is>
          <t>Alta</t>
        </is>
      </c>
      <c r="E93" s="5" t="inlineStr">
        <is>
          <t>Cliente · listado 14/09</t>
        </is>
      </c>
      <c r="F93" s="5" t="inlineStr">
        <is>
          <t>F3</t>
        </is>
      </c>
      <c r="G93" s="5" t="inlineStr">
        <is>
          <t>F3.1</t>
        </is>
      </c>
      <c r="H93" s="5" t="inlineStr">
        <is>
          <t>I</t>
        </is>
      </c>
      <c r="I93" s="5" t="inlineStr">
        <is>
          <t>interfaz.md aprobado por el cliente y revisado por el auditor de requisitos.</t>
        </is>
      </c>
      <c r="J93" s="5" t="inlineStr">
        <is>
          <t>Cumple</t>
        </is>
      </c>
      <c r="K93" s="5" t="inlineStr">
        <is>
          <t>0.2.3</t>
        </is>
      </c>
      <c r="L93" s="5" t="inlineStr">
        <is>
          <t>interfaz.md v1.0 · AR-04 · aprobación del cliente el 20/10</t>
        </is>
      </c>
      <c r="M93" s="5" t="inlineStr">
        <is>
          <t>Verificado</t>
        </is>
      </c>
      <c r="N93" s="5" t="inlineStr">
        <is>
          <t>Auditor de requisitos</t>
        </is>
      </c>
      <c r="O93" s="5" t="inlineStr">
        <is>
          <t>docs/interfaz.md v1.0, aprobada por ti el 20/10 tras la auditoría AR-04 (10 hallazgos resueltos). Bocetos al tamaño real de cada pantalla en docs/interfaz/, comprobados por herramientas/capturar-wireframes.js. Los cambios posteriores suben su versión.</t>
        </is>
      </c>
      <c r="P93" s="6" t="n"/>
      <c r="Q93" s="5" t="inlineStr">
        <is>
          <t>Modificado</t>
        </is>
      </c>
    </row>
    <row r="94" ht="78" customHeight="1">
      <c r="A94" s="4" t="inlineStr">
        <is>
          <t>C-07</t>
        </is>
      </c>
      <c r="B94" s="5" t="inlineStr">
        <is>
          <t>Configuración y navegación</t>
        </is>
      </c>
      <c r="C94" s="5" t="inlineStr">
        <is>
          <t>Botón «atrás» del sistema: mientras haya un paso anterior en la sesión, el botón o gesto «atrás» cierra Ajustes o vuelve al área anterior; desde la primera área actúa el sistema. Al abrir la app se entra en Libre.</t>
        </is>
      </c>
      <c r="D94" s="5" t="inlineStr">
        <is>
          <t>Media</t>
        </is>
      </c>
      <c r="E94" s="5" t="inlineStr">
        <is>
          <t>Cliente · 20/10 (interfaz.md v1.0)</t>
        </is>
      </c>
      <c r="F94" s="5" t="inlineStr">
        <is>
          <t>F3</t>
        </is>
      </c>
      <c r="G94" s="5" t="inlineStr">
        <is>
          <t>F3.2</t>
        </is>
      </c>
      <c r="H94" s="5" t="inlineStr">
        <is>
          <t>D</t>
        </is>
      </c>
      <c r="I94" s="5" t="inlineStr">
        <is>
          <t>Con un paso anterior en la sesión, «atrás» cierra Ajustes o vuelve al área anterior; desde la primera área actúa el sistema; al abrir o recargar se entra en Libre. Prueba manual en Windows y en el simulador de Android de Chrome.</t>
        </is>
      </c>
      <c r="J94" s="5" t="inlineStr">
        <is>
          <t>No cumple</t>
        </is>
      </c>
      <c r="K94" s="5" t="inlineStr">
        <is>
          <t>—</t>
        </is>
      </c>
      <c r="L94" s="5" t="inlineStr">
        <is>
          <t>—</t>
        </is>
      </c>
      <c r="M94" s="5" t="inlineStr">
        <is>
          <t>Pendiente</t>
        </is>
      </c>
      <c r="N94" s="5" t="inlineStr">
        <is>
          <t>Cliente</t>
        </is>
      </c>
      <c r="O94" s="5" t="inlineStr">
        <is>
          <t>Aprobado el 20/10 con interfaz.md v1.0. Usa el historial del navegador (history), estándar en todos los sistemas. En el iPhone instalado no hay botón atrás.</t>
        </is>
      </c>
      <c r="P94" s="6" t="n"/>
      <c r="Q94" s="5" t="inlineStr">
        <is>
          <t>Nuevo</t>
        </is>
      </c>
    </row>
    <row r="95" ht="78" customHeight="1">
      <c r="A95" s="4" t="inlineStr">
        <is>
          <t>X-01</t>
        </is>
      </c>
      <c r="B95" s="5" t="inlineStr">
        <is>
          <t>Respaldo y publicación</t>
        </is>
      </c>
      <c r="C95" s="5" t="inlineStr">
        <is>
          <t>El código y la documentación están respaldados en el repositorio remoto (GitHub). Respaldar no es publicar.</t>
        </is>
      </c>
      <c r="D95" s="5" t="inlineStr">
        <is>
          <t>Alta</t>
        </is>
      </c>
      <c r="E95" s="5" t="inlineStr">
        <is>
          <t>Desarrollo · v1.1</t>
        </is>
      </c>
      <c r="F95" s="5" t="inlineStr">
        <is>
          <t>F1</t>
        </is>
      </c>
      <c r="G95" s="5" t="inlineStr">
        <is>
          <t>F1.2 · F1.4</t>
        </is>
      </c>
      <c r="H95" s="5" t="inlineStr">
        <is>
          <t>I</t>
        </is>
      </c>
      <c r="I95" s="5" t="inlineStr">
        <is>
          <t>GitHub muestra la última versión en main, entrada por pull request aprobado, y la etiqueta de cierre de fase.</t>
        </is>
      </c>
      <c r="J95" s="5" t="inlineStr">
        <is>
          <t>Cumple</t>
        </is>
      </c>
      <c r="K95" s="5" t="inlineStr">
        <is>
          <t>0.1.4</t>
        </is>
      </c>
      <c r="L95" s="5" t="inlineStr">
        <is>
          <t>PR #1 a #5 fusionados · etiqueta v0.1.5</t>
        </is>
      </c>
      <c r="M95" s="5" t="inlineStr">
        <is>
          <t>Verificado parcialmente</t>
        </is>
      </c>
      <c r="N95" s="5" t="inlineStr">
        <is>
          <t>Auditor de requisitos</t>
        </is>
      </c>
      <c r="O95" s="5" t="inlineStr">
        <is>
          <t>Desde el 15/10 todo el proyecto está en pdigue/guitarra; cada versión entra por pull request aprobado (del #1 al #5) y F1 se cerró con la etiqueta v0.1.5. El repositorio es público.</t>
        </is>
      </c>
      <c r="P95" s="6" t="n"/>
      <c r="Q95" s="5" t="inlineStr"/>
    </row>
    <row r="96" ht="120" customHeight="1">
      <c r="A96" s="4" t="inlineStr">
        <is>
          <t>X-02</t>
        </is>
      </c>
      <c r="B96" s="5" t="inlineStr">
        <is>
          <t>Respaldo y publicación</t>
        </is>
      </c>
      <c r="C96" s="5" t="inlineStr">
        <is>
          <t>La app está publicada en una URL pública (GitHub Pages).</t>
        </is>
      </c>
      <c r="D96" s="5" t="inlineStr">
        <is>
          <t>Alta</t>
        </is>
      </c>
      <c r="E96" s="5" t="inlineStr">
        <is>
          <t>Desarrollo · v1.1</t>
        </is>
      </c>
      <c r="F96" s="5" t="inlineStr">
        <is>
          <t>F7</t>
        </is>
      </c>
      <c r="G96" s="5" t="inlineStr">
        <is>
          <t>F7.1</t>
        </is>
      </c>
      <c r="H96" s="5" t="inlineStr">
        <is>
          <t>D</t>
        </is>
      </c>
      <c r="I96" s="5" t="inlineStr">
        <is>
          <t>La URL pública carga la app desde un dispositivo ajeno al proyecto.</t>
        </is>
      </c>
      <c r="J96" s="5" t="inlineStr">
        <is>
          <t>No cumple</t>
        </is>
      </c>
      <c r="K96" s="5" t="inlineStr">
        <is>
          <t>—</t>
        </is>
      </c>
      <c r="L96" s="5" t="inlineStr">
        <is>
          <t>—</t>
        </is>
      </c>
      <c r="M96" s="5" t="inlineStr">
        <is>
          <t>Pendiente</t>
        </is>
      </c>
      <c r="N96" s="5" t="inlineStr">
        <is>
          <t>Cliente</t>
        </is>
      </c>
      <c r="O96" s="5" t="inlineStr">
        <is>
          <t>Antes en V1; pasa a la última fase por decisión del 15/09: desarrollo local de principio a fin. Despliegue de pruebas (decisión del 15/10): antes de la Sesión 1 se publica una versión de pruebas en GitHub Pages, sin anunciar, para probar en el iPhone con https la instalación, el modo sin conexión y el micrófono. X-02 sigue siendo la publicación oficial.</t>
        </is>
      </c>
      <c r="P96" s="6" t="n"/>
      <c r="Q96" s="5" t="inlineStr"/>
    </row>
    <row r="97" ht="33" customHeight="1">
      <c r="A97" s="4" t="inlineStr">
        <is>
          <t>X-03</t>
        </is>
      </c>
      <c r="B97" s="5" t="inlineStr">
        <is>
          <t>Respaldo y publicación</t>
        </is>
      </c>
      <c r="C97" s="5" t="inlineStr">
        <is>
          <t>La app está verificada en móviles reales, instalada como icono desde la web publicada.</t>
        </is>
      </c>
      <c r="D97" s="5" t="inlineStr">
        <is>
          <t>Alta</t>
        </is>
      </c>
      <c r="E97" s="5" t="inlineStr">
        <is>
          <t>Desarrollo · v1.1</t>
        </is>
      </c>
      <c r="F97" s="5" t="inlineStr">
        <is>
          <t>F7</t>
        </is>
      </c>
      <c r="G97" s="5" t="inlineStr">
        <is>
          <t>F7.2</t>
        </is>
      </c>
      <c r="H97" s="5" t="inlineStr">
        <is>
          <t>D</t>
        </is>
      </c>
      <c r="I97" s="5" t="inlineStr">
        <is>
          <t>La app instalada desde la web funciona en un Android, un iPhone y un Windows reales.</t>
        </is>
      </c>
      <c r="J97" s="5" t="inlineStr">
        <is>
          <t>No cumple</t>
        </is>
      </c>
      <c r="K97" s="5" t="inlineStr">
        <is>
          <t>—</t>
        </is>
      </c>
      <c r="L97" s="5" t="inlineStr">
        <is>
          <t>—</t>
        </is>
      </c>
      <c r="M97" s="5" t="inlineStr">
        <is>
          <t>Pendiente</t>
        </is>
      </c>
      <c r="N97" s="5" t="inlineStr">
        <is>
          <t>Cliente</t>
        </is>
      </c>
      <c r="O97" s="5" t="inlineStr">
        <is>
          <t>Cierra G-04 y PL-01 a PL-03 en su modo web.</t>
        </is>
      </c>
      <c r="P97" s="6" t="n"/>
      <c r="Q97" s="5" t="inlineStr"/>
    </row>
  </sheetData>
  <autoFilter ref="A4:Q97"/>
  <conditionalFormatting sqref="J5:J97">
    <cfRule type="expression" priority="1" dxfId="0">
      <formula>J5="Cumple"</formula>
    </cfRule>
    <cfRule type="expression" priority="2" dxfId="0">
      <formula>J5="Verificado"</formula>
    </cfRule>
    <cfRule type="expression" priority="3" dxfId="1">
      <formula>OR(J5="Cumple parcialmente",J5="Verificado parcialmente")</formula>
    </cfRule>
    <cfRule type="expression" priority="4" dxfId="2">
      <formula>J5="No cumple"</formula>
    </cfRule>
    <cfRule type="expression" priority="5" dxfId="3">
      <formula>J5="No aplica"</formula>
    </cfRule>
  </conditionalFormatting>
  <conditionalFormatting sqref="M5:M97">
    <cfRule type="expression" priority="6" dxfId="0">
      <formula>M5="Cumple"</formula>
    </cfRule>
    <cfRule type="expression" priority="7" dxfId="0">
      <formula>M5="Verificado"</formula>
    </cfRule>
    <cfRule type="expression" priority="8" dxfId="1">
      <formula>OR(M5="Cumple parcialmente",M5="Verificado parcialmente")</formula>
    </cfRule>
    <cfRule type="expression" priority="9" dxfId="2">
      <formula>M5="No cumple"</formula>
    </cfRule>
    <cfRule type="expression" priority="10" dxfId="3">
      <formula>M5="No aplica"</formula>
    </cfRule>
  </conditionalFormatting>
  <dataValidations count="3">
    <dataValidation sqref="J5:J97" showDropDown="0" showInputMessage="0" showErrorMessage="0" allowBlank="0" errorTitle="Valor no válido" error="Elige un valor de la lista. Están descritos en la hoja Leyenda." type="list">
      <formula1>"Cumple,Cumple parcialmente,No cumple,No aplica"</formula1>
    </dataValidation>
    <dataValidation sqref="M5:M97" showDropDown="0" showInputMessage="0" showErrorMessage="0" allowBlank="0" errorTitle="Valor no válido" error="Elige un valor de la lista. Están descritos en la hoja Leyenda." type="list">
      <formula1>"Verificado,Verificado parcialmente,Pendiente,No aplica"</formula1>
    </dataValidation>
    <dataValidation sqref="H5:H97" showDropDown="0" showInputMessage="0" showErrorMessage="0" allowBlank="0" errorTitle="Valor no válido" error="Elige un valor de la lista. Están descritos en la hoja Leyenda." type="list">
      <formula1>"I,A,D,T,I+T,N/A"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1" customWidth="1" min="3" max="3"/>
    <col width="14" customWidth="1" min="4" max="4"/>
    <col width="12" customWidth="1" min="5" max="5"/>
    <col width="11" customWidth="1" min="6" max="6"/>
    <col width="13" customWidth="1" min="7" max="7"/>
    <col width="12" customWidth="1" min="8" max="8"/>
    <col width="14" customWidth="1" min="9" max="9"/>
  </cols>
  <sheetData>
    <row r="1">
      <c r="A1" s="1" t="inlineStr">
        <is>
          <t>Resumen de cumplimiento</t>
        </is>
      </c>
    </row>
    <row r="2">
      <c r="A2" s="2" t="inlineStr">
        <is>
          <t>Todas las cifras son fórmulas sobre la hoja Matriz: cambian solas al actualizar una declaración o un estado. Un requisito asignado a dos fases cuenta en las dos; el total cuenta cada requisito una vez.</t>
        </is>
      </c>
    </row>
    <row r="4" ht="30" customHeight="1">
      <c r="A4" s="3" t="inlineStr">
        <is>
          <t>Fase</t>
        </is>
      </c>
      <c r="B4" s="3" t="inlineStr">
        <is>
          <t>Requisitos</t>
        </is>
      </c>
      <c r="C4" s="3" t="inlineStr">
        <is>
          <t>Cumple</t>
        </is>
      </c>
      <c r="D4" s="3" t="inlineStr">
        <is>
          <t>Cumple parcialmente</t>
        </is>
      </c>
      <c r="E4" s="3" t="inlineStr">
        <is>
          <t>No cumple</t>
        </is>
      </c>
      <c r="F4" s="3" t="inlineStr">
        <is>
          <t>No aplica</t>
        </is>
      </c>
      <c r="G4" s="3" t="inlineStr">
        <is>
          <t>% que cumple</t>
        </is>
      </c>
      <c r="H4" s="3" t="inlineStr">
        <is>
          <t>Verificados</t>
        </is>
      </c>
      <c r="I4" s="3" t="inlineStr">
        <is>
          <t>Verificados parcialmente</t>
        </is>
      </c>
    </row>
    <row r="5">
      <c r="A5" s="7" t="inlineStr">
        <is>
          <t>F1 · Base local verificada</t>
        </is>
      </c>
      <c r="B5" s="7">
        <f>COUNTIF(Matriz!$F$5:$F$97,"*F1*")</f>
        <v/>
      </c>
      <c r="C5" s="7">
        <f>COUNTIFS(Matriz!$F$5:$F$97,"*F1*",Matriz!$J$5:$J$97,"Cumple")</f>
        <v/>
      </c>
      <c r="D5" s="7">
        <f>COUNTIFS(Matriz!$F$5:$F$97,"*F1*",Matriz!$J$5:$J$97,"Cumple parcialmente")</f>
        <v/>
      </c>
      <c r="E5" s="7">
        <f>COUNTIFS(Matriz!$F$5:$F$97,"*F1*",Matriz!$J$5:$J$97,"No cumple")</f>
        <v/>
      </c>
      <c r="F5" s="7">
        <f>COUNTIFS(Matriz!$F$5:$F$97,"*F1*",Matriz!$J$5:$J$97,"No aplica")</f>
        <v/>
      </c>
      <c r="G5" s="8">
        <f>IFERROR(C5/B5,0)</f>
        <v/>
      </c>
      <c r="H5" s="7">
        <f>COUNTIFS(Matriz!$F$5:$F$97,"*F1*",Matriz!$M$5:$M$97,"Verificado")</f>
        <v/>
      </c>
      <c r="I5" s="7">
        <f>COUNTIFS(Matriz!$F$5:$F$97,"*F1*",Matriz!$M$5:$M$97,"Verificado parcialmente")</f>
        <v/>
      </c>
    </row>
    <row r="6">
      <c r="A6" s="7" t="inlineStr">
        <is>
          <t>F2 · Sonido propio y archivo autónomo</t>
        </is>
      </c>
      <c r="B6" s="7">
        <f>COUNTIF(Matriz!$F$5:$F$97,"*F2*")</f>
        <v/>
      </c>
      <c r="C6" s="7">
        <f>COUNTIFS(Matriz!$F$5:$F$97,"*F2*",Matriz!$J$5:$J$97,"Cumple")</f>
        <v/>
      </c>
      <c r="D6" s="7">
        <f>COUNTIFS(Matriz!$F$5:$F$97,"*F2*",Matriz!$J$5:$J$97,"Cumple parcialmente")</f>
        <v/>
      </c>
      <c r="E6" s="7">
        <f>COUNTIFS(Matriz!$F$5:$F$97,"*F2*",Matriz!$J$5:$J$97,"No cumple")</f>
        <v/>
      </c>
      <c r="F6" s="7">
        <f>COUNTIFS(Matriz!$F$5:$F$97,"*F2*",Matriz!$J$5:$J$97,"No aplica")</f>
        <v/>
      </c>
      <c r="G6" s="8">
        <f>IFERROR(C6/B6,0)</f>
        <v/>
      </c>
      <c r="H6" s="7">
        <f>COUNTIFS(Matriz!$F$5:$F$97,"*F2*",Matriz!$M$5:$M$97,"Verificado")</f>
        <v/>
      </c>
      <c r="I6" s="7">
        <f>COUNTIFS(Matriz!$F$5:$F$97,"*F2*",Matriz!$M$5:$M$97,"Verificado parcialmente")</f>
        <v/>
      </c>
    </row>
    <row r="7">
      <c r="A7" s="7" t="inlineStr">
        <is>
          <t>F3 · Interfaz y adaptación</t>
        </is>
      </c>
      <c r="B7" s="7">
        <f>COUNTIF(Matriz!$F$5:$F$97,"*F3*")</f>
        <v/>
      </c>
      <c r="C7" s="7">
        <f>COUNTIFS(Matriz!$F$5:$F$97,"*F3*",Matriz!$J$5:$J$97,"Cumple")</f>
        <v/>
      </c>
      <c r="D7" s="7">
        <f>COUNTIFS(Matriz!$F$5:$F$97,"*F3*",Matriz!$J$5:$J$97,"Cumple parcialmente")</f>
        <v/>
      </c>
      <c r="E7" s="7">
        <f>COUNTIFS(Matriz!$F$5:$F$97,"*F3*",Matriz!$J$5:$J$97,"No cumple")</f>
        <v/>
      </c>
      <c r="F7" s="7">
        <f>COUNTIFS(Matriz!$F$5:$F$97,"*F3*",Matriz!$J$5:$J$97,"No aplica")</f>
        <v/>
      </c>
      <c r="G7" s="8">
        <f>IFERROR(C7/B7,0)</f>
        <v/>
      </c>
      <c r="H7" s="7">
        <f>COUNTIFS(Matriz!$F$5:$F$97,"*F3*",Matriz!$M$5:$M$97,"Verificado")</f>
        <v/>
      </c>
      <c r="I7" s="7">
        <f>COUNTIFS(Matriz!$F$5:$F$97,"*F3*",Matriz!$M$5:$M$97,"Verificado parcialmente")</f>
        <v/>
      </c>
    </row>
    <row r="8">
      <c r="A8" s="7" t="inlineStr">
        <is>
          <t>F4 · Afinador por micrófono</t>
        </is>
      </c>
      <c r="B8" s="7">
        <f>COUNTIF(Matriz!$F$5:$F$97,"*F4*")</f>
        <v/>
      </c>
      <c r="C8" s="7">
        <f>COUNTIFS(Matriz!$F$5:$F$97,"*F4*",Matriz!$J$5:$J$97,"Cumple")</f>
        <v/>
      </c>
      <c r="D8" s="7">
        <f>COUNTIFS(Matriz!$F$5:$F$97,"*F4*",Matriz!$J$5:$J$97,"Cumple parcialmente")</f>
        <v/>
      </c>
      <c r="E8" s="7">
        <f>COUNTIFS(Matriz!$F$5:$F$97,"*F4*",Matriz!$J$5:$J$97,"No cumple")</f>
        <v/>
      </c>
      <c r="F8" s="7">
        <f>COUNTIFS(Matriz!$F$5:$F$97,"*F4*",Matriz!$J$5:$J$97,"No aplica")</f>
        <v/>
      </c>
      <c r="G8" s="8">
        <f>IFERROR(C8/B8,0)</f>
        <v/>
      </c>
      <c r="H8" s="7">
        <f>COUNTIFS(Matriz!$F$5:$F$97,"*F4*",Matriz!$M$5:$M$97,"Verificado")</f>
        <v/>
      </c>
      <c r="I8" s="7">
        <f>COUNTIFS(Matriz!$F$5:$F$97,"*F4*",Matriz!$M$5:$M$97,"Verificado parcialmente")</f>
        <v/>
      </c>
    </row>
    <row r="9">
      <c r="A9" s="7" t="inlineStr">
        <is>
          <t>F5 · Escalas</t>
        </is>
      </c>
      <c r="B9" s="7">
        <f>COUNTIF(Matriz!$F$5:$F$97,"*F5*")</f>
        <v/>
      </c>
      <c r="C9" s="7">
        <f>COUNTIFS(Matriz!$F$5:$F$97,"*F5*",Matriz!$J$5:$J$97,"Cumple")</f>
        <v/>
      </c>
      <c r="D9" s="7">
        <f>COUNTIFS(Matriz!$F$5:$F$97,"*F5*",Matriz!$J$5:$J$97,"Cumple parcialmente")</f>
        <v/>
      </c>
      <c r="E9" s="7">
        <f>COUNTIFS(Matriz!$F$5:$F$97,"*F5*",Matriz!$J$5:$J$97,"No cumple")</f>
        <v/>
      </c>
      <c r="F9" s="7">
        <f>COUNTIFS(Matriz!$F$5:$F$97,"*F5*",Matriz!$J$5:$J$97,"No aplica")</f>
        <v/>
      </c>
      <c r="G9" s="8">
        <f>IFERROR(C9/B9,0)</f>
        <v/>
      </c>
      <c r="H9" s="7">
        <f>COUNTIFS(Matriz!$F$5:$F$97,"*F5*",Matriz!$M$5:$M$97,"Verificado")</f>
        <v/>
      </c>
      <c r="I9" s="7">
        <f>COUNTIFS(Matriz!$F$5:$F$97,"*F5*",Matriz!$M$5:$M$97,"Verificado parcialmente")</f>
        <v/>
      </c>
    </row>
    <row r="10">
      <c r="A10" s="7" t="inlineStr">
        <is>
          <t>F6 · Preparación para distribución</t>
        </is>
      </c>
      <c r="B10" s="7">
        <f>COUNTIF(Matriz!$F$5:$F$97,"*F6*")</f>
        <v/>
      </c>
      <c r="C10" s="7">
        <f>COUNTIFS(Matriz!$F$5:$F$97,"*F6*",Matriz!$J$5:$J$97,"Cumple")</f>
        <v/>
      </c>
      <c r="D10" s="7">
        <f>COUNTIFS(Matriz!$F$5:$F$97,"*F6*",Matriz!$J$5:$J$97,"Cumple parcialmente")</f>
        <v/>
      </c>
      <c r="E10" s="7">
        <f>COUNTIFS(Matriz!$F$5:$F$97,"*F6*",Matriz!$J$5:$J$97,"No cumple")</f>
        <v/>
      </c>
      <c r="F10" s="7">
        <f>COUNTIFS(Matriz!$F$5:$F$97,"*F6*",Matriz!$J$5:$J$97,"No aplica")</f>
        <v/>
      </c>
      <c r="G10" s="8">
        <f>IFERROR(C10/B10,0)</f>
        <v/>
      </c>
      <c r="H10" s="7">
        <f>COUNTIFS(Matriz!$F$5:$F$97,"*F6*",Matriz!$M$5:$M$97,"Verificado")</f>
        <v/>
      </c>
      <c r="I10" s="7">
        <f>COUNTIFS(Matriz!$F$5:$F$97,"*F6*",Matriz!$M$5:$M$97,"Verificado parcialmente")</f>
        <v/>
      </c>
    </row>
    <row r="11">
      <c r="A11" s="7" t="inlineStr">
        <is>
          <t>F7 · Publicación y lanzamiento</t>
        </is>
      </c>
      <c r="B11" s="7">
        <f>COUNTIF(Matriz!$F$5:$F$97,"*F7*")</f>
        <v/>
      </c>
      <c r="C11" s="7">
        <f>COUNTIFS(Matriz!$F$5:$F$97,"*F7*",Matriz!$J$5:$J$97,"Cumple")</f>
        <v/>
      </c>
      <c r="D11" s="7">
        <f>COUNTIFS(Matriz!$F$5:$F$97,"*F7*",Matriz!$J$5:$J$97,"Cumple parcialmente")</f>
        <v/>
      </c>
      <c r="E11" s="7">
        <f>COUNTIFS(Matriz!$F$5:$F$97,"*F7*",Matriz!$J$5:$J$97,"No cumple")</f>
        <v/>
      </c>
      <c r="F11" s="7">
        <f>COUNTIFS(Matriz!$F$5:$F$97,"*F7*",Matriz!$J$5:$J$97,"No aplica")</f>
        <v/>
      </c>
      <c r="G11" s="8">
        <f>IFERROR(C11/B11,0)</f>
        <v/>
      </c>
      <c r="H11" s="7">
        <f>COUNTIFS(Matriz!$F$5:$F$97,"*F7*",Matriz!$M$5:$M$97,"Verificado")</f>
        <v/>
      </c>
      <c r="I11" s="7">
        <f>COUNTIFS(Matriz!$F$5:$F$97,"*F7*",Matriz!$M$5:$M$97,"Verificado parcialmente")</f>
        <v/>
      </c>
    </row>
    <row r="12">
      <c r="A12" s="7" t="inlineStr">
        <is>
          <t>Posterior · fuera de alcance</t>
        </is>
      </c>
      <c r="B12" s="7">
        <f>COUNTIF(Matriz!$F$5:$F$97,"*Posterior*")</f>
        <v/>
      </c>
      <c r="C12" s="7">
        <f>COUNTIFS(Matriz!$F$5:$F$97,"*Posterior*",Matriz!$J$5:$J$97,"Cumple")</f>
        <v/>
      </c>
      <c r="D12" s="7">
        <f>COUNTIFS(Matriz!$F$5:$F$97,"*Posterior*",Matriz!$J$5:$J$97,"Cumple parcialmente")</f>
        <v/>
      </c>
      <c r="E12" s="7">
        <f>COUNTIFS(Matriz!$F$5:$F$97,"*Posterior*",Matriz!$J$5:$J$97,"No cumple")</f>
        <v/>
      </c>
      <c r="F12" s="7">
        <f>COUNTIFS(Matriz!$F$5:$F$97,"*Posterior*",Matriz!$J$5:$J$97,"No aplica")</f>
        <v/>
      </c>
      <c r="G12" s="8">
        <f>IFERROR(C12/B12,0)</f>
        <v/>
      </c>
      <c r="H12" s="7">
        <f>COUNTIFS(Matriz!$F$5:$F$97,"*Posterior*",Matriz!$M$5:$M$97,"Verificado")</f>
        <v/>
      </c>
      <c r="I12" s="7">
        <f>COUNTIFS(Matriz!$F$5:$F$97,"*Posterior*",Matriz!$M$5:$M$97,"Verificado parcialmente")</f>
        <v/>
      </c>
    </row>
    <row r="13">
      <c r="A13" s="9" t="inlineStr">
        <is>
          <t>Total del producto</t>
        </is>
      </c>
      <c r="B13" s="9">
        <f>COUNTA(Matriz!$A$5:$A$97)</f>
        <v/>
      </c>
      <c r="C13" s="9">
        <f>COUNTIF(Matriz!$J$5:$J$97,"Cumple")</f>
        <v/>
      </c>
      <c r="D13" s="9">
        <f>COUNTIF(Matriz!$J$5:$J$97,"Cumple parcialmente")</f>
        <v/>
      </c>
      <c r="E13" s="9">
        <f>COUNTIF(Matriz!$J$5:$J$97,"No cumple")</f>
        <v/>
      </c>
      <c r="F13" s="9">
        <f>COUNTIF(Matriz!$J$5:$J$97,"No aplica")</f>
        <v/>
      </c>
      <c r="G13" s="10">
        <f>IFERROR(C13/B13,0)</f>
        <v/>
      </c>
      <c r="H13" s="9">
        <f>COUNTIF(Matriz!$M$5:$M$97,"Verificado")</f>
        <v/>
      </c>
      <c r="I13" s="9">
        <f>COUNTIF(Matriz!$M$5:$M$97,"Verificado parcialmente")</f>
        <v/>
      </c>
    </row>
    <row r="15">
      <c r="A15" s="11" t="inlineStr">
        <is>
          <t>Por método de verificación</t>
        </is>
      </c>
    </row>
    <row r="16">
      <c r="A16" s="12" t="inlineStr">
        <is>
          <t>I · Inspección</t>
        </is>
      </c>
      <c r="B16" s="12">
        <f>COUNTIF(Matriz!$H$5:$H$97,"I")</f>
        <v/>
      </c>
    </row>
    <row r="17">
      <c r="A17" s="12" t="inlineStr">
        <is>
          <t>A · Análisis</t>
        </is>
      </c>
      <c r="B17" s="12">
        <f>COUNTIF(Matriz!$H$5:$H$97,"A")</f>
        <v/>
      </c>
    </row>
    <row r="18">
      <c r="A18" s="12" t="inlineStr">
        <is>
          <t>D · Demostración</t>
        </is>
      </c>
      <c r="B18" s="12">
        <f>COUNTIF(Matriz!$H$5:$H$97,"D")</f>
        <v/>
      </c>
    </row>
    <row r="19">
      <c r="A19" s="12" t="inlineStr">
        <is>
          <t>T · Prueba</t>
        </is>
      </c>
      <c r="B19" s="12">
        <f>COUNTIF(Matriz!$H$5:$H$97,"T")</f>
        <v/>
      </c>
    </row>
    <row r="20">
      <c r="A20" s="12" t="inlineStr">
        <is>
          <t>I+T · Inspección y prueba</t>
        </is>
      </c>
      <c r="B20" s="12">
        <f>COUNTIF(Matriz!$H$5:$H$97,"I+T")</f>
        <v/>
      </c>
    </row>
    <row r="21">
      <c r="A21" s="12" t="inlineStr">
        <is>
          <t>N/A · No aplica</t>
        </is>
      </c>
      <c r="B21" s="12">
        <f>COUNTIF(Matriz!$H$5:$H$97,"N/A")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64" customHeight="1">
      <c r="A1" s="13" t="inlineStr">
        <is>
          <t>Qué es</t>
        </is>
      </c>
      <c r="B1" s="14" t="inlineStr">
        <is>
          <t>Matriz de cumplimiento de requisitos entre el cliente, que define qué debe hacer el producto, y el proveedor, que lo construye y declara su grado de cumplimiento. Los auditores verifican de forma independiente. Equivale a una matriz de verificación cruzada (VCRM) de ingeniería de sistemas.</t>
        </is>
      </c>
    </row>
    <row r="2" ht="34" customHeight="1">
      <c r="A2" s="13" t="inlineStr">
        <is>
          <t>Roles</t>
        </is>
      </c>
      <c r="B2" s="14" t="inlineStr">
        <is>
          <t>Cliente: Pablo Díaz Guerra. Proveedor: chat de Desarrollo, o el agente desarrollador en el modo acelerado. Verificación independiente: auditor de requisitos y auditor técnico.</t>
        </is>
      </c>
    </row>
    <row r="3" ht="34" customHeight="1">
      <c r="A3" s="13" t="inlineStr">
        <is>
          <t>Qué celdas editas tú</t>
        </is>
      </c>
      <c r="B3" s="14" t="inlineStr">
        <is>
          <t>La columna «Comentario del cliente», en amarillo. Las declaraciones y los estados los actualiza el proveedor en cada entrega; tú los aceptas o los discutes en tu comentario.</t>
        </is>
      </c>
    </row>
    <row r="4" ht="19" customHeight="1">
      <c r="A4" s="13" t="inlineStr">
        <is>
          <t>Ejemplo de comentario del cliente</t>
        </is>
      </c>
      <c r="B4" s="15" t="inlineStr">
        <is>
          <t>Aceptado en Chrome. Repetir en Firefox antes de marcarlo como verificado.</t>
        </is>
      </c>
    </row>
    <row r="5" ht="34" customHeight="1">
      <c r="A5" s="13" t="inlineStr">
        <is>
          <t>Método · I</t>
        </is>
      </c>
      <c r="B5" s="14" t="inlineStr">
        <is>
          <t>Inspección: se comprueba mirando el producto, el código o la documentación, sin ejecutar nada especial.</t>
        </is>
      </c>
    </row>
    <row r="6" ht="34" customHeight="1">
      <c r="A6" s="13" t="inlineStr">
        <is>
          <t>Método · A</t>
        </is>
      </c>
      <c r="B6" s="14" t="inlineStr">
        <is>
          <t>Análisis: se comprueba con un cálculo o un razonamiento sobre todos los casos, por ejemplo el rango completo del pentagrama.</t>
        </is>
      </c>
    </row>
    <row r="7" ht="19" customHeight="1">
      <c r="A7" s="13" t="inlineStr">
        <is>
          <t>Método · D</t>
        </is>
      </c>
      <c r="B7" s="14" t="inlineStr">
        <is>
          <t>Demostración: se usa la app y se observa que hace lo pedido.</t>
        </is>
      </c>
    </row>
    <row r="8" ht="34" customHeight="1">
      <c r="A8" s="13" t="inlineStr">
        <is>
          <t>Método · T</t>
        </is>
      </c>
      <c r="B8" s="14" t="inlineStr">
        <is>
          <t>Prueba: se mide con un procedimiento repetible y un resultado esperado, normalmente el banco de pruebas automático.</t>
        </is>
      </c>
    </row>
    <row r="9" ht="34" customHeight="1">
      <c r="A9" s="13" t="inlineStr">
        <is>
          <t>Declaración del proveedor</t>
        </is>
      </c>
      <c r="B9" s="14" t="inlineStr">
        <is>
          <t>Cumple · Cumple parcialmente · No cumple (aún no implementado, planificado en su etapa) · No aplica (fuera de alcance).</t>
        </is>
      </c>
    </row>
    <row r="10" ht="49" customHeight="1">
      <c r="A10" s="13" t="inlineStr">
        <is>
          <t>Estado de verificación</t>
        </is>
      </c>
      <c r="B10" s="14" t="inlineStr">
        <is>
          <t>Verificado: superó su criterio de aceptación con el método indicado. Verificado parcialmente: hay evidencia, pero falta parte del método, por ejemplo la demostración en un navegador real. Pendiente: sin evidencia todavía.</t>
        </is>
      </c>
    </row>
    <row r="11" ht="64" customHeight="1">
      <c r="A11" s="13" t="inlineStr">
        <is>
          <t>Evidencia</t>
        </is>
      </c>
      <c r="B11" s="14" t="inlineStr">
        <is>
          <t>«Banco (node --test)» son las pruebas automáticas de tests/banco.test.js: arrancan la app en un navegador simulado, sin instalar nada (15 pruebas y 1 pendiente en la 0.1.4). «F1.1 #n» es la comprobación número n de la lista de F1.1 del roadmap, que se hace en la Sesión 1. samples/afinacion.json es la medición de la afinación de cada muestra.</t>
        </is>
      </c>
    </row>
    <row r="12" ht="34" customHeight="1">
      <c r="A12" s="13" t="inlineStr">
        <is>
          <t>Regla de cierre</t>
        </is>
      </c>
      <c r="B12" s="14" t="inlineStr">
        <is>
          <t>Una etapa del roadmap se cierra cuando todos sus requisitos están en «Cumple» y «Verificado». En el modo acelerado esta regla es el criterio de parada de cada iteración automática.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90" customWidth="1" min="5" max="5"/>
  </cols>
  <sheetData>
    <row r="1">
      <c r="A1" s="16" t="inlineStr">
        <is>
          <t>Versión</t>
        </is>
      </c>
      <c r="B1" s="16" t="inlineStr">
        <is>
          <t>Fecha</t>
        </is>
      </c>
      <c r="C1" s="16" t="inlineStr">
        <is>
          <t>Requisitos</t>
        </is>
      </c>
      <c r="D1" s="16" t="inlineStr">
        <is>
          <t>App</t>
        </is>
      </c>
      <c r="E1" s="16" t="inlineStr">
        <is>
          <t>Cambios</t>
        </is>
      </c>
    </row>
    <row r="2" ht="46" customHeight="1">
      <c r="A2" s="14" t="inlineStr">
        <is>
          <t>1.9</t>
        </is>
      </c>
      <c r="B2" s="14" t="inlineStr">
        <is>
          <t>20/10/2026</t>
        </is>
      </c>
      <c r="C2" s="14" t="inlineStr">
        <is>
          <t>v1.11</t>
        </is>
      </c>
      <c r="D2" s="14" t="inlineStr">
        <is>
          <t>0.2.3</t>
        </is>
      </c>
      <c r="E2" s="14" t="inlineStr">
        <is>
          <t>Interfaz aprobada: C-06 verificado; C-07 nuevo; criterios revisados de V-01 (40 px con alto útil ≥ 268 px y aviso para girar), V-04 (trastes ≥ 40 px en pantallas táctiles), G-05 (controles de 40 × 40 px) y C-04 (navegación según la disposición).</t>
        </is>
      </c>
    </row>
    <row r="3" ht="46" customHeight="1">
      <c r="A3" s="14" t="inlineStr">
        <is>
          <t>1.8</t>
        </is>
      </c>
      <c r="B3" s="14" t="inlineStr">
        <is>
          <t>20/10/2026</t>
        </is>
      </c>
      <c r="C3" s="14" t="inlineStr">
        <is>
          <t>v1.10</t>
        </is>
      </c>
      <c r="D3" s="14" t="inlineStr">
        <is>
          <t>0.2.3</t>
        </is>
      </c>
      <c r="E3" s="14" t="inlineStr">
        <is>
          <t>S-07 cumple y queda verificado: licencia CC BY de los 161 sonidos del pack de nylon.</t>
        </is>
      </c>
    </row>
    <row r="4" ht="46" customHeight="1">
      <c r="A4" s="14" t="inlineStr">
        <is>
          <t>1.7</t>
        </is>
      </c>
      <c r="B4" s="14" t="inlineStr">
        <is>
          <t>20/10/2026</t>
        </is>
      </c>
      <c r="C4" s="14" t="inlineStr">
        <is>
          <t>v1.9</t>
        </is>
      </c>
      <c r="D4" s="14" t="inlineStr">
        <is>
          <t>0.2.3</t>
        </is>
      </c>
      <c r="E4" s="14" t="inlineStr">
        <is>
          <t>Evidencia de S-07: licencia de nylon comprobada en tres sonidos. Criterios sin cambios.</t>
        </is>
      </c>
    </row>
    <row r="5" ht="46" customHeight="1">
      <c r="A5" s="14" t="inlineStr">
        <is>
          <t>1.6</t>
        </is>
      </c>
      <c r="B5" s="14" t="inlineStr">
        <is>
          <t>19/10/2026</t>
        </is>
      </c>
      <c r="C5" s="14" t="inlineStr">
        <is>
          <t>v1.8</t>
        </is>
      </c>
      <c r="D5" s="14" t="inlineStr">
        <is>
          <t>0.2.3</t>
        </is>
      </c>
      <c r="E5" s="14" t="inlineStr">
        <is>
          <t>CP-2: criterio de G-07 con los límites revisados y solo Windows y Android; X-01 cumple; evidencia de S-01 con la escucha del cliente (V-05).</t>
        </is>
      </c>
    </row>
    <row r="6" ht="46" customHeight="1">
      <c r="A6" s="14" t="inlineStr">
        <is>
          <t>1.5</t>
        </is>
      </c>
      <c r="B6" s="14" t="inlineStr">
        <is>
          <t>19/10/2026</t>
        </is>
      </c>
      <c r="C6" s="14" t="inlineStr">
        <is>
          <t>v1.7</t>
        </is>
      </c>
      <c r="D6" s="14" t="inlineStr">
        <is>
          <t>0.2.2</t>
        </is>
      </c>
      <c r="E6" s="14" t="inlineStr">
        <is>
          <t>Criterio de S-08 según su nueva redacción: nota resultante a ±5 cents tras la corrección.</t>
        </is>
      </c>
    </row>
    <row r="7" ht="46" customHeight="1">
      <c r="A7" s="14" t="inlineStr">
        <is>
          <t>1.4</t>
        </is>
      </c>
      <c r="B7" s="14" t="inlineStr">
        <is>
          <t>19/10/2026</t>
        </is>
      </c>
      <c r="C7" s="14" t="inlineStr">
        <is>
          <t>v1.6</t>
        </is>
      </c>
      <c r="D7" s="14" t="inlineStr">
        <is>
          <t>0.2.1</t>
        </is>
      </c>
      <c r="E7" s="14" t="inlineStr">
        <is>
          <t>G-07 y G-08 verificados parcialmente con el archivo autónomo (V-03 y banco); falta la prueba en cada plataforma (F2.5).</t>
        </is>
      </c>
    </row>
    <row r="8" ht="46" customHeight="1">
      <c r="A8" s="14" t="inlineStr">
        <is>
          <t>1.3</t>
        </is>
      </c>
      <c r="B8" s="14" t="inlineStr">
        <is>
          <t>19/10/2026</t>
        </is>
      </c>
      <c r="C8" s="14" t="inlineStr">
        <is>
          <t>v1.5</t>
        </is>
      </c>
      <c r="D8" s="14" t="inlineStr">
        <is>
          <t>0.2.0</t>
        </is>
      </c>
      <c r="E8" s="14" t="inlineStr">
        <is>
          <t>S-08 verificado: la app usa sus grabaciones medidas (F2.2). Evidencias nuevas en S-01, S-07 y S-08: banco con todas las notas y grabación en el navegador (V-02).</t>
        </is>
      </c>
    </row>
    <row r="9" ht="46" customHeight="1">
      <c r="A9" s="14" t="inlineStr">
        <is>
          <t>1.2</t>
        </is>
      </c>
      <c r="B9" s="14" t="inlineStr">
        <is>
          <t>15/10/2026</t>
        </is>
      </c>
      <c r="C9" s="14" t="inlineStr">
        <is>
          <t>v1.4</t>
        </is>
      </c>
      <c r="D9" s="14" t="inlineStr">
        <is>
          <t>0.1.4</t>
        </is>
      </c>
      <c r="E9" s="14" t="inlineStr">
        <is>
          <t>Nuevo PL-04: adaptabilidad entre sistemas, con docs/compatibilidad.md como evidencia. PL-02 sin Android de pruebas por ahora; X-02 con despliegue de pruebas previo.</t>
        </is>
      </c>
    </row>
    <row r="10" ht="46" customHeight="1">
      <c r="A10" s="14" t="inlineStr">
        <is>
          <t>1.1</t>
        </is>
      </c>
      <c r="B10" s="14" t="inlineStr">
        <is>
          <t>15/10/2026</t>
        </is>
      </c>
      <c r="C10" s="14" t="inlineStr">
        <is>
          <t>v1.3</t>
        </is>
      </c>
      <c r="D10" s="14" t="inlineStr">
        <is>
          <t>0.1.4</t>
        </is>
      </c>
      <c r="E10" s="14" t="inlineStr">
        <is>
          <t>Nuevo S-08: afinación medida de cada muestra, verificado parcialmente hasta F2.2. Criterios revisados en CP-1: S-01, S-08, G-03, G-06 y A-02-CA. S-07 y G-06 pasan a «Cumple parcialmente» con CREDITOS.md y samples/. Las evidencias del banco apuntan a tests/ (node --test, 12 pruebas). Nueva comprobación F1.1 #15 para oír la corrección del registro agudo.</t>
        </is>
      </c>
    </row>
    <row r="11" ht="46" customHeight="1">
      <c r="A11" s="14" t="inlineStr">
        <is>
          <t>1.0</t>
        </is>
      </c>
      <c r="B11" s="14" t="inlineStr">
        <is>
          <t>14/10/2026</t>
        </is>
      </c>
      <c r="C11" s="14" t="inlineStr">
        <is>
          <t>v1.2</t>
        </is>
      </c>
      <c r="D11" s="14" t="inlineStr">
        <is>
          <t>0.1.2</t>
        </is>
      </c>
      <c r="E11" s="14" t="inlineStr">
        <is>
          <t>Primera emisión. 90 requisitos con origen, método de verificación, criterio de aceptación, declaración del proveedor, evidencia y estado de verificación.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2026-10-20T09:04:14Z</dcterms:created>
  <dcterms:modified xmlns:dcterms="http://purl.org/dc/terms/" xmlns:xsi="http://www.w3.org/2001/XMLSchema-instance" xsi:type="dcterms:W3CDTF">2026-10-20T09:04:14Z</dcterms:modified>
</cp:coreProperties>
</file>