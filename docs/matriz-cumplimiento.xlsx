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atriz" sheetId="1" state="visible" r:id="rId1"/>
    <sheet xmlns:r="http://schemas.openxmlformats.org/officeDocument/2006/relationships" name="Resumen" sheetId="2" state="visible" r:id="rId2"/>
    <sheet xmlns:r="http://schemas.openxmlformats.org/officeDocument/2006/relationships" name="Leyenda" sheetId="3" state="visible" r:id="rId3"/>
    <sheet xmlns:r="http://schemas.openxmlformats.org/officeDocument/2006/relationships" name="Control de cambios" sheetId="4" state="visible" r:id="rId4"/>
  </sheets>
  <definedNames>
    <definedName name="_xlnm._FilterDatabase" localSheetId="0" hidden="1">'Matriz'!$A$4:$Q$100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2A1D13"/>
      <sz val="14"/>
    </font>
    <font>
      <name val="Arial"/>
      <color rgb="006A5947"/>
      <sz val="9"/>
    </font>
    <font>
      <name val="Arial"/>
      <b val="1"/>
      <color rgb="00FFFFFF"/>
      <sz val="10"/>
    </font>
    <font>
      <name val="Arial"/>
      <b val="1"/>
      <sz val="9"/>
    </font>
    <font>
      <name val="Arial"/>
      <sz val="9"/>
    </font>
    <font>
      <name val="Arial"/>
      <sz val="10"/>
    </font>
    <font>
      <name val="Arial"/>
      <b val="1"/>
      <sz val="10"/>
    </font>
    <font>
      <name val="Arial"/>
      <b val="1"/>
      <sz val="11"/>
    </font>
  </fonts>
  <fills count="5">
    <fill>
      <patternFill/>
    </fill>
    <fill>
      <patternFill patternType="gray125"/>
    </fill>
    <fill>
      <patternFill patternType="solid">
        <fgColor rgb="002A1D13"/>
      </patternFill>
    </fill>
    <fill>
      <patternFill patternType="solid">
        <fgColor rgb="00FFF7CC"/>
      </patternFill>
    </fill>
    <fill>
      <patternFill patternType="solid">
        <fgColor rgb="00F3D9B5"/>
      </patternFill>
    </fill>
  </fills>
  <borders count="2">
    <border>
      <left/>
      <right/>
      <top/>
      <bottom/>
      <diagonal/>
    </border>
    <border>
      <right style="thin">
        <color rgb="00D9CFC0"/>
      </right>
      <bottom style="thin">
        <color rgb="00D9CFC0"/>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vertical="center" wrapText="1"/>
    </xf>
    <xf numFmtId="0" fontId="4" fillId="0" borderId="1" applyAlignment="1" pivotButton="0" quotePrefix="0" xfId="0">
      <alignment vertical="top" wrapText="1"/>
    </xf>
    <xf numFmtId="0" fontId="5" fillId="0" borderId="1" applyAlignment="1" pivotButton="0" quotePrefix="0" xfId="0">
      <alignment vertical="top" wrapText="1"/>
    </xf>
    <xf numFmtId="0" fontId="5" fillId="3" borderId="1" applyAlignment="1" pivotButton="0" quotePrefix="0" xfId="0">
      <alignment vertical="top" wrapText="1"/>
    </xf>
    <xf numFmtId="0" fontId="6" fillId="0" borderId="1" pivotButton="0" quotePrefix="0" xfId="0"/>
    <xf numFmtId="9" fontId="6" fillId="0" borderId="1" pivotButton="0" quotePrefix="0" xfId="0"/>
    <xf numFmtId="0" fontId="7" fillId="4" borderId="1" pivotButton="0" quotePrefix="0" xfId="0"/>
    <xf numFmtId="9" fontId="7" fillId="4" borderId="1" pivotButton="0" quotePrefix="0" xfId="0"/>
    <xf numFmtId="0" fontId="8" fillId="0" borderId="0" pivotButton="0" quotePrefix="0" xfId="0"/>
    <xf numFmtId="0" fontId="6" fillId="0" borderId="0" pivotButton="0" quotePrefix="0" xfId="0"/>
    <xf numFmtId="0" fontId="7" fillId="0" borderId="0" applyAlignment="1" pivotButton="0" quotePrefix="0" xfId="0">
      <alignment vertical="top"/>
    </xf>
    <xf numFmtId="0" fontId="6" fillId="0" borderId="0" applyAlignment="1" pivotButton="0" quotePrefix="0" xfId="0">
      <alignment vertical="top" wrapText="1"/>
    </xf>
    <xf numFmtId="0" fontId="6" fillId="3" borderId="0" applyAlignment="1" pivotButton="0" quotePrefix="0" xfId="0">
      <alignment vertical="top" wrapText="1"/>
    </xf>
    <xf numFmtId="0" fontId="3" fillId="2" borderId="0" pivotButton="0" quotePrefix="0" xfId="0"/>
  </cellXfs>
  <cellStyles count="1">
    <cellStyle name="Normal" xfId="0" builtinId="0" hidden="0"/>
  </cellStyles>
  <dxfs count="4">
    <dxf>
      <fill>
        <patternFill patternType="solid">
          <fgColor rgb="00D6EFDF"/>
          <bgColor rgb="00D6EFDF"/>
        </patternFill>
      </fill>
    </dxf>
    <dxf>
      <fill>
        <patternFill patternType="solid">
          <fgColor rgb="00F8E7C2"/>
          <bgColor rgb="00F8E7C2"/>
        </patternFill>
      </fill>
    </dxf>
    <dxf>
      <fill>
        <patternFill patternType="solid">
          <fgColor rgb="00EDE7E1"/>
          <bgColor rgb="00EDE7E1"/>
        </patternFill>
      </fill>
    </dxf>
    <dxf>
      <fill>
        <patternFill patternType="solid">
          <fgColor rgb="00E3E8EE"/>
          <bgColor rgb="00E3E8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10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6" customWidth="1" min="2" max="2"/>
    <col width="46" customWidth="1" min="3" max="3"/>
    <col width="10" customWidth="1" min="4" max="4"/>
    <col width="18" customWidth="1" min="5" max="5"/>
    <col width="9" customWidth="1" min="6" max="6"/>
    <col width="13" customWidth="1" min="7" max="7"/>
    <col width="9" customWidth="1" min="8" max="8"/>
    <col width="48" customWidth="1" min="9" max="9"/>
    <col width="20" customWidth="1" min="10" max="10"/>
    <col width="10" customWidth="1" min="11" max="11"/>
    <col width="34" customWidth="1" min="12" max="12"/>
    <col width="21" customWidth="1" min="13" max="13"/>
    <col width="20" customWidth="1" min="14" max="14"/>
    <col width="44" customWidth="1" min="15" max="15"/>
    <col width="32" customWidth="1" min="16" max="16"/>
    <col width="12" customWidth="1" min="17" max="17"/>
  </cols>
  <sheetData>
    <row r="1">
      <c r="A1" s="1" t="inlineStr">
        <is>
          <t>Trasteando — Matriz de cumplimiento de requisitos</t>
        </is>
      </c>
    </row>
    <row r="2">
      <c r="A2" s="2" t="inlineStr">
        <is>
          <t>Versión 1.16. Base: requisitos.md v1.18 · app 0.5.0 · roadmap 3.16 · emitida el 15/10/2026. Cliente: Pablo Díaz Guerra. Proveedor: chat de Desarrollo. Verificación independiente: auditores de requisitos y técnico.</t>
        </is>
      </c>
    </row>
    <row r="4" ht="30" customHeight="1">
      <c r="A4" s="3" t="inlineStr">
        <is>
          <t>ID</t>
        </is>
      </c>
      <c r="B4" s="3" t="inlineStr">
        <is>
          <t>Categoría</t>
        </is>
      </c>
      <c r="C4" s="3" t="inlineStr">
        <is>
          <t>Requisito</t>
        </is>
      </c>
      <c r="D4" s="3" t="inlineStr">
        <is>
          <t>Prioridad</t>
        </is>
      </c>
      <c r="E4" s="3" t="inlineStr">
        <is>
          <t>Origen</t>
        </is>
      </c>
      <c r="F4" s="3" t="inlineStr">
        <is>
          <t>Fase</t>
        </is>
      </c>
      <c r="G4" s="3" t="inlineStr">
        <is>
          <t>Etapa</t>
        </is>
      </c>
      <c r="H4" s="3" t="inlineStr">
        <is>
          <t>Método</t>
        </is>
      </c>
      <c r="I4" s="3" t="inlineStr">
        <is>
          <t>Criterio de aceptación</t>
        </is>
      </c>
      <c r="J4" s="3" t="inlineStr">
        <is>
          <t>Declaración del proveedor</t>
        </is>
      </c>
      <c r="K4" s="3" t="inlineStr">
        <is>
          <t>Desde versión</t>
        </is>
      </c>
      <c r="L4" s="3" t="inlineStr">
        <is>
          <t>Evidencia</t>
        </is>
      </c>
      <c r="M4" s="3" t="inlineStr">
        <is>
          <t>Estado de verificación</t>
        </is>
      </c>
      <c r="N4" s="3" t="inlineStr">
        <is>
          <t>Verifica</t>
        </is>
      </c>
      <c r="O4" s="3" t="inlineStr">
        <is>
          <t>Comentario del proveedor</t>
        </is>
      </c>
      <c r="P4" s="3" t="inlineStr">
        <is>
          <t>Comentario del cliente</t>
        </is>
      </c>
      <c r="Q4" s="3" t="inlineStr">
        <is>
          <t>Cambio en v1.18</t>
        </is>
      </c>
    </row>
    <row r="5" ht="48" customHeight="1">
      <c r="A5" s="4" t="inlineStr">
        <is>
          <t>G-01</t>
        </is>
      </c>
      <c r="B5" s="5" t="inlineStr">
        <is>
          <t>Requisitos generales y de producto</t>
        </is>
      </c>
      <c r="C5" s="5" t="inlineStr">
        <is>
          <t>La aplicación se llama Trasteando. El nombre aparece en la pantalla de entrada, el título de la pestaña y el manifiesto PWA.</t>
        </is>
      </c>
      <c r="D5" s="5" t="inlineStr">
        <is>
          <t>Alta</t>
        </is>
      </c>
      <c r="E5" s="5" t="inlineStr">
        <is>
          <t>Cliente · listado 14/09</t>
        </is>
      </c>
      <c r="F5" s="5" t="inlineStr">
        <is>
          <t>F1</t>
        </is>
      </c>
      <c r="G5" s="5" t="inlineStr">
        <is>
          <t>F1.1</t>
        </is>
      </c>
      <c r="H5" s="5" t="inlineStr">
        <is>
          <t>I</t>
        </is>
      </c>
      <c r="I5" s="5" t="inlineStr">
        <is>
          <t>El nombre «Trasteando» aparece en la pantalla de entrada, en la pestaña del navegador y en el manifiesto.</t>
        </is>
      </c>
      <c r="J5" s="5" t="inlineStr">
        <is>
          <t>Cumple</t>
        </is>
      </c>
      <c r="K5" s="5" t="inlineStr">
        <is>
          <t>0.1.0</t>
        </is>
      </c>
      <c r="L5" s="5" t="inlineStr">
        <is>
          <t>F1.1 #14 · Sesión 1: A01</t>
        </is>
      </c>
      <c r="M5" s="5" t="inlineStr">
        <is>
          <t>Verificado</t>
        </is>
      </c>
      <c r="N5" s="5" t="inlineStr">
        <is>
          <t>Auditor de requisitos</t>
        </is>
      </c>
      <c r="O5" s="5" t="inlineStr">
        <is>
          <t>Naming cerrado: se descarta Trasting. Validado en la Sesión 1 (20/10, informe V-08): A01.</t>
        </is>
      </c>
      <c r="P5" s="6" t="n"/>
      <c r="Q5" s="5" t="inlineStr"/>
    </row>
    <row r="6" ht="48" customHeight="1">
      <c r="A6" s="4" t="inlineStr">
        <is>
          <t>G-02</t>
        </is>
      </c>
      <c r="B6" s="5" t="inlineStr">
        <is>
          <t>Requisitos generales y de producto</t>
        </is>
      </c>
      <c r="C6" s="5" t="inlineStr">
        <is>
          <t>La app se organiza en áreas accesibles desde una navegación principal: Libre, Adivinar, Afinador y Escalas.</t>
        </is>
      </c>
      <c r="D6" s="5" t="inlineStr">
        <is>
          <t>Alta</t>
        </is>
      </c>
      <c r="E6" s="5" t="inlineStr">
        <is>
          <t>Cliente · listado 14/09</t>
        </is>
      </c>
      <c r="F6" s="5" t="inlineStr">
        <is>
          <t>F1</t>
        </is>
      </c>
      <c r="G6" s="5" t="inlineStr">
        <is>
          <t>F1.1</t>
        </is>
      </c>
      <c r="H6" s="5" t="inlineStr">
        <is>
          <t>D</t>
        </is>
      </c>
      <c r="I6" s="5" t="inlineStr">
        <is>
          <t>La barra inferior muestra Libre, Adivinar, Afinador y Escalas; cada destino activo abre su vista y Escalas aparece deshabilitada.</t>
        </is>
      </c>
      <c r="J6" s="5" t="inlineStr">
        <is>
          <t>Cumple</t>
        </is>
      </c>
      <c r="K6" s="5" t="inlineStr">
        <is>
          <t>0.1.0</t>
        </is>
      </c>
      <c r="L6" s="5" t="inlineStr">
        <is>
          <t>F1.1 #1 y #14 · Sesión 1: A12</t>
        </is>
      </c>
      <c r="M6" s="5" t="inlineStr">
        <is>
          <t>Verificado</t>
        </is>
      </c>
      <c r="N6" s="5" t="inlineStr">
        <is>
          <t>Cliente</t>
        </is>
      </c>
      <c r="O6" s="5" t="inlineStr">
        <is>
          <t>Escalas visible pero deshabilitada hasta F5. Validado en la Sesión 1 (20/10, informe V-08): A12.</t>
        </is>
      </c>
      <c r="P6" s="6" t="n"/>
      <c r="Q6" s="5" t="inlineStr"/>
    </row>
    <row r="7" ht="108" customHeight="1">
      <c r="A7" s="4" t="inlineStr">
        <is>
          <t>G-03</t>
        </is>
      </c>
      <c r="B7" s="5" t="inlineStr">
        <is>
          <t>Requisitos generales y de producto</t>
        </is>
      </c>
      <c r="C7" s="5" t="inlineStr">
        <is>
          <t>La app funciona sin conexión una vez cargada desde la web.</t>
        </is>
      </c>
      <c r="D7" s="5" t="inlineStr">
        <is>
          <t>Media</t>
        </is>
      </c>
      <c r="E7" s="5" t="inlineStr">
        <is>
          <t>Cliente · listado 14/09</t>
        </is>
      </c>
      <c r="F7" s="5" t="inlineStr">
        <is>
          <t>F6 · F7</t>
        </is>
      </c>
      <c r="G7" s="5" t="inlineStr">
        <is>
          <t>F6.2 · F7.2</t>
        </is>
      </c>
      <c r="H7" s="5" t="inlineStr">
        <is>
          <t>T</t>
        </is>
      </c>
      <c r="I7" s="5" t="inlineStr">
        <is>
          <t>F6.2: tras una primera carga en localhost y sin red, la app abre y suena. F7.2: lo mismo desde la web publicada.</t>
        </is>
      </c>
      <c r="J7" s="5" t="inlineStr">
        <is>
          <t>No cumple</t>
        </is>
      </c>
      <c r="K7" s="5" t="inlineStr">
        <is>
          <t>—</t>
        </is>
      </c>
      <c r="L7" s="5" t="inlineStr">
        <is>
          <t>—</t>
        </is>
      </c>
      <c r="M7" s="5" t="inlineStr">
        <is>
          <t>Pendiente</t>
        </is>
      </c>
      <c r="N7" s="5" t="inlineStr">
        <is>
          <t>Banco automático + auditor técnico</t>
        </is>
      </c>
      <c r="O7" s="5" t="inlineStr">
        <is>
          <t>Service Worker en F6.2, decidido el 20/10: en la Sesión 1 el iPhone no prueba la app sin conexión. Depende de S-07. Se valida en dos pasos: en localhost en F6.2 y desde la web publicada en F7.2 (CP-1). En modo archivo (G-07) la autonomía se consigue de otra forma: el audio va dentro del archivo.</t>
        </is>
      </c>
      <c r="P7" s="6" t="n"/>
      <c r="Q7" s="5" t="inlineStr"/>
    </row>
    <row r="8" ht="78" customHeight="1">
      <c r="A8" s="4" t="inlineStr">
        <is>
          <t>G-04</t>
        </is>
      </c>
      <c r="B8" s="5" t="inlineStr">
        <is>
          <t>Requisitos generales y de producto</t>
        </is>
      </c>
      <c r="C8" s="5" t="inlineStr">
        <is>
          <t>La app es instalable como PWA (icono en la pantalla de inicio, pantalla completa).</t>
        </is>
      </c>
      <c r="D8" s="5" t="inlineStr">
        <is>
          <t>Alta</t>
        </is>
      </c>
      <c r="E8" s="5" t="inlineStr">
        <is>
          <t>Cliente · listado 14/09</t>
        </is>
      </c>
      <c r="F8" s="5" t="inlineStr">
        <is>
          <t>F6 · F7</t>
        </is>
      </c>
      <c r="G8" s="5" t="inlineStr">
        <is>
          <t>F6.3 · F7.2</t>
        </is>
      </c>
      <c r="H8" s="5" t="inlineStr">
        <is>
          <t>D</t>
        </is>
      </c>
      <c r="I8" s="5" t="inlineStr">
        <is>
          <t>Desde la web publicada, el navegador ofrece instalarla y abre a pantalla completa desde el icono.</t>
        </is>
      </c>
      <c r="J8" s="5" t="inlineStr">
        <is>
          <t>Cumple parcialmente</t>
        </is>
      </c>
      <c r="K8" s="5" t="inlineStr">
        <is>
          <t>0.1.0</t>
        </is>
      </c>
      <c r="L8" s="5" t="inlineStr">
        <is>
          <t>—</t>
        </is>
      </c>
      <c r="M8" s="5" t="inlineStr">
        <is>
          <t>Pendiente</t>
        </is>
      </c>
      <c r="N8" s="5" t="inlineStr">
        <is>
          <t>Cliente</t>
        </is>
      </c>
      <c r="O8" s="5" t="inlineStr">
        <is>
          <t>Manifiesto incrustado como data: URL. Falta un archivo de manifiesto propio con iconos PNG (F6.3) y verificarla instalada desde la web publicada (F7.2): instalar solo es posible desde https.</t>
        </is>
      </c>
      <c r="P8" s="6" t="n"/>
      <c r="Q8" s="5" t="inlineStr"/>
    </row>
    <row r="9" ht="120" customHeight="1">
      <c r="A9" s="4" t="inlineStr">
        <is>
          <t>G-05</t>
        </is>
      </c>
      <c r="B9" s="5" t="inlineStr">
        <is>
          <t>Requisitos generales y de producto</t>
        </is>
      </c>
      <c r="C9" s="5" t="inlineStr">
        <is>
          <t>La interfaz cumple unos mínimos de accesibilidad: foco de teclado visible, respeto a prefers-reduced-motion, contraste suficiente y etiquetas accesibles en los controles solo-icono.</t>
        </is>
      </c>
      <c r="D9" s="5" t="inlineStr">
        <is>
          <t>Media</t>
        </is>
      </c>
      <c r="E9" s="5" t="inlineStr">
        <is>
          <t>Cliente · 20/10 (interfaz.md v1.0)</t>
        </is>
      </c>
      <c r="F9" s="5" t="inlineStr">
        <is>
          <t>F3</t>
        </is>
      </c>
      <c r="G9" s="5" t="inlineStr">
        <is>
          <t>F3.4</t>
        </is>
      </c>
      <c r="H9" s="5" t="inlineStr">
        <is>
          <t>I+T</t>
        </is>
      </c>
      <c r="I9" s="5" t="inlineStr">
        <is>
          <t>Todo control es alcanzable con teclado y muestra el foco; contrastes ≥ 4,5:1 medidos; el movimiento se reduce con prefers-reduced-motion; en pantallas táctiles, todo control y toda casilla del mástil mide al menos 40 × 40 px en la vista por defecto, salvo las cuerdas en vertical con menos de 660 px de alto y los trastes que el usuario estreche con «+» (hasta 28 px). Paleta por nota: las 7 naturales a ≥ 7,5 (OKLab × 100) entre sí con visión normal y con protanopía, deuteranopía y tritanopía simuladas, y las 12 a ≥ 8 con visión normal; el nombre de la nota siempre escrito.</t>
        </is>
      </c>
      <c r="J9" s="5" t="inlineStr">
        <is>
          <t>Cumple</t>
        </is>
      </c>
      <c r="K9" s="5" t="inlineStr">
        <is>
          <t>0.1.1</t>
        </is>
      </c>
      <c r="L9" s="5" t="inlineStr">
        <is>
          <t>V-07: comprobar-accesibilidad.js (teclado, contraste, movimiento) · paleta.py · V-06: 40 × 40 px · Banco (node --test): teclado, etiquetas, paleta, grises, fila y asa · Sesión 1: A18, C05 y C06</t>
        </is>
      </c>
      <c r="M9" s="5" t="inlineStr">
        <is>
          <t>Verificado</t>
        </is>
      </c>
      <c r="N9" s="5" t="inlineStr">
        <is>
          <t>Auditor técnico</t>
        </is>
      </c>
      <c r="O9" s="5" t="inlineStr">
        <is>
          <t>Hecho en la 0.3.1 (F3.4, V-07). Con el teclado se llega a todo y el foco se ve; el mástil es una cuadrícula (role="grid") que se recorre con las flechas y se toca con Intro; en Adivinar ninguna casilla anuncia su nota (J-12). Todos los textos a 4,5:1 o más, medidos en Chromium sobre su fondo real (con la 0.3.0 había 205 por debajo). Con «reducir movimiento» nada se anima. Con el dedo, controles y casillas de 40 × 40 px, también en Ajustes (salvo si pides más trastes con «+», que pueden estrecharse hasta 28 px); la fila entera cambia su interruptor, y el asa cierra Ajustes deslizando. Paleta por nota con tu criterio del 20/10: 7 naturales bien separadas, también con daltonismo, y sostenidos derivados (herramientas/paleta.py). Excepción (AR-05): en vertical, por debajo de 660 px de alto, la navegación manda sobre los 40 px por cuerda. Validado en la Sesión 1 (20/10, informe V-08): A18, C05 y C06.</t>
        </is>
      </c>
      <c r="P9" s="6" t="n"/>
      <c r="Q9" s="5" t="inlineStr"/>
    </row>
    <row r="10" ht="78" customHeight="1">
      <c r="A10" s="4" t="inlineStr">
        <is>
          <t>G-06</t>
        </is>
      </c>
      <c r="B10" s="5" t="inlineStr">
        <is>
          <t>Requisitos generales y de producto</t>
        </is>
      </c>
      <c r="C10" s="5" t="inlineStr">
        <is>
          <t>El proyecto documenta sus dependencias externas y la licencia de cada recurso de terceros que distribuye, y la app muestra los créditos.</t>
        </is>
      </c>
      <c r="D10" s="5" t="inlineStr">
        <is>
          <t>Media</t>
        </is>
      </c>
      <c r="E10" s="5" t="inlineStr">
        <is>
          <t>Desarrollo · v1.1</t>
        </is>
      </c>
      <c r="F10" s="5" t="inlineStr">
        <is>
          <t>F2 · F6</t>
        </is>
      </c>
      <c r="G10" s="5" t="inlineStr">
        <is>
          <t>F2.1 · F6.4</t>
        </is>
      </c>
      <c r="H10" s="5" t="inlineStr">
        <is>
          <t>I</t>
        </is>
      </c>
      <c r="I10" s="5" t="inlineStr">
        <is>
          <t>CREDITOS.md lista cada recurso de terceros con su origen y su licencia, y la app muestra el texto de atribución en Ajustes.</t>
        </is>
      </c>
      <c r="J10" s="5" t="inlineStr">
        <is>
          <t>Cumple parcialmente</t>
        </is>
      </c>
      <c r="K10" s="5" t="inlineStr">
        <is>
          <t>—</t>
        </is>
      </c>
      <c r="L10" s="5" t="inlineStr">
        <is>
          <t>CREDITOS.md (F2.1). Falta mostrarlo en la app (F6.4)</t>
        </is>
      </c>
      <c r="M10" s="5" t="inlineStr">
        <is>
          <t>Verificado parcialmente</t>
        </is>
      </c>
      <c r="N10" s="5" t="inlineStr">
        <is>
          <t>Auditor de requisitos</t>
        </is>
      </c>
      <c r="O10" s="5" t="inlineStr">
        <is>
          <t>CREDITOS.md (F2.1): origen, licencia, huella sha256 y texto de atribución de cada muestra de audio, y Tone.js (MIT). Falta mostrar los créditos dentro de la app y elegir la licencia del propio código (F6.4).</t>
        </is>
      </c>
      <c r="P10" s="6" t="n"/>
      <c r="Q10" s="5" t="inlineStr"/>
    </row>
    <row r="11" ht="120" customHeight="1">
      <c r="A11" s="4" t="inlineStr">
        <is>
          <t>G-07</t>
        </is>
      </c>
      <c r="B11" s="5" t="inlineStr">
        <is>
          <t>Requisitos generales y de producto</t>
        </is>
      </c>
      <c r="C11" s="5" t="inlineStr">
        <is>
          <t>Modo archivo autónomo en Windows y Android: la app funciona completa —salvo el afinador por micrófono— abriendo el archivo directamente (file://), sin servidor y sin conexión. En iPhone, donde no se pueden abrir páginas desde Archivos, la autonomía llega por G-03.</t>
        </is>
      </c>
      <c r="D11" s="5" t="inlineStr">
        <is>
          <t>Alta</t>
        </is>
      </c>
      <c r="E11" s="5" t="inlineStr">
        <is>
          <t>Cliente · 15/09</t>
        </is>
      </c>
      <c r="F11" s="5" t="inlineStr">
        <is>
          <t>F2</t>
        </is>
      </c>
      <c r="G11" s="5" t="inlineStr">
        <is>
          <t>F2.3 · F2.5</t>
        </is>
      </c>
      <c r="H11" s="5" t="inlineStr">
        <is>
          <t>T</t>
        </is>
      </c>
      <c r="I11" s="5" t="inlineStr">
        <is>
          <t>En Windows (y Android cuando lo haya), con el ordenador en modo avión, dist/trasteando.html abre con doble clic en ≤ 3 s, suenan las grabaciones y funcionan Libre, Adivinar y el afinador por referencia. Audio ≤ 1,45 MB y archivo ≤ 2 MB.</t>
        </is>
      </c>
      <c r="J11" s="5" t="inlineStr">
        <is>
          <t>Cumple</t>
        </is>
      </c>
      <c r="K11" s="5" t="inlineStr">
        <is>
          <t>0.2.1</t>
        </is>
      </c>
      <c r="L11" s="5" t="inlineStr">
        <is>
          <t>V-03 y V-04: desde disco y sin conexión en Chromium, abre en 0,3 s y suena a menos de 1 cent · Banco (node --test): autónomo al día, con su audio, huellas y límites · Sesión 1: B02, B03, B04 y C09</t>
        </is>
      </c>
      <c r="M11" s="5" t="inlineStr">
        <is>
          <t>Verificado</t>
        </is>
      </c>
      <c r="N11" s="5" t="inlineStr">
        <is>
          <t>Banco automático + auditor técnico</t>
        </is>
      </c>
      <c r="O11" s="5" t="inlineStr">
        <is>
          <t>dist/trasteando.html: la app con sus 17 grabaciones dentro (1,46 MB). Límites revisados en CP-2: el audio no pasa de 1,45 MB, y bajar su calidad exige tu escucha; el archivo entero no pasa de 2 MB, para dejar sitio al código de F3 a F6. Lo que cuenta para ti es que abra en ≤ 3 s en Windows: en Chromium tarda 0,3 s, y en tu PC se mide en la Sesión 1 (F2.5). Redacción limitada a Windows y Android tras AR-03. Validado en la Sesión 1 (20/10, informe V-08): B02, B03, B04 y C09.</t>
        </is>
      </c>
      <c r="P11" s="6" t="n"/>
      <c r="Q11" s="5" t="inlineStr"/>
    </row>
    <row r="12" ht="120" customHeight="1">
      <c r="A12" s="4" t="inlineStr">
        <is>
          <t>G-08</t>
        </is>
      </c>
      <c r="B12" s="5" t="inlineStr">
        <is>
          <t>Requisitos generales y de producto</t>
        </is>
      </c>
      <c r="C12" s="5" t="inlineStr">
        <is>
          <t>El proyecto conserva dos formas de distribución equivalentes: el archivo autónomo (para llevárselo) y la web publicada (para instalarla como PWA).</t>
        </is>
      </c>
      <c r="D12" s="5" t="inlineStr">
        <is>
          <t>Media</t>
        </is>
      </c>
      <c r="E12" s="5" t="inlineStr">
        <is>
          <t>Cliente · 15/09</t>
        </is>
      </c>
      <c r="F12" s="5" t="inlineStr">
        <is>
          <t>F4 · F6</t>
        </is>
      </c>
      <c r="G12" s="5" t="inlineStr">
        <is>
          <t>F4.1 · F6.1</t>
        </is>
      </c>
      <c r="H12" s="5" t="inlineStr">
        <is>
          <t>T</t>
        </is>
      </c>
      <c r="I12" s="5" t="inlineStr">
        <is>
          <t>El archivo autónomo generado y la web publicada superan el mismo banco de pruebas.</t>
        </is>
      </c>
      <c r="J12" s="5" t="inlineStr">
        <is>
          <t>Cumple parcialmente</t>
        </is>
      </c>
      <c r="K12" s="5" t="inlineStr">
        <is>
          <t>0.1.0</t>
        </is>
      </c>
      <c r="L12" s="5" t="inlineStr">
        <is>
          <t>Banco (node --test): el autónomo es exactamente la app ensamblada (ensamblar.js) más su audio; la app en js/ se carga archivo a archivo</t>
        </is>
      </c>
      <c r="M12" s="5" t="inlineStr">
        <is>
          <t>Verificado parcialmente</t>
        </is>
      </c>
      <c r="N12" s="5" t="inlineStr">
        <is>
          <t>Banco automático + auditor técnico</t>
        </is>
      </c>
      <c r="O12" s="5" t="inlineStr">
        <is>
          <t>Desde la 0.2.1 hay dos formas reales: index.html para servir (Live Server y web) y dist/trasteando.html, generado a partir de él con herramientas/generar-autonomo.py. El banco comprueba que el autónomo está al día con index.html. Se vuelve más exigente al pasar a módulos (F4.1); F6.1 generará el archivo autónomo a partir de ellos. Desde la 0.4.0 (F4.1), la app vive en varios archivos (css/ y js/, uno por tema); herramientas/generar-autonomo.py sigue generando el archivo autónomo, y ahora usa herramientas/ensamblar.js para unirlos; el banco comprueba que el resultado es exactamente la app más su audio.</t>
        </is>
      </c>
      <c r="P12" s="6" t="n"/>
      <c r="Q12" s="5" t="inlineStr"/>
    </row>
    <row r="13" ht="63" customHeight="1">
      <c r="A13" s="4" t="inlineStr">
        <is>
          <t>G-09</t>
        </is>
      </c>
      <c r="B13" s="5" t="inlineStr">
        <is>
          <t>Requisitos generales y de producto</t>
        </is>
      </c>
      <c r="C13" s="5" t="inlineStr">
        <is>
          <t>La app podrá distribuirse por tiendas oficiales —Google Play, Microsoft Store y, si compensa, App Store— empaquetando la PWA publicada.</t>
        </is>
      </c>
      <c r="D13" s="5" t="inlineStr">
        <is>
          <t>Media</t>
        </is>
      </c>
      <c r="E13" s="5" t="inlineStr">
        <is>
          <t>Cliente · 14/10</t>
        </is>
      </c>
      <c r="F13" s="5" t="inlineStr">
        <is>
          <t>F7</t>
        </is>
      </c>
      <c r="G13" s="5" t="inlineStr">
        <is>
          <t>F7.4</t>
        </is>
      </c>
      <c r="H13" s="5" t="inlineStr">
        <is>
          <t>I</t>
        </is>
      </c>
      <c r="I13" s="5" t="inlineStr">
        <is>
          <t>Ficha enviada a revisión en al menos una tienda, o decisión documentada de no hacerlo.</t>
        </is>
      </c>
      <c r="J13" s="5" t="inlineStr">
        <is>
          <t>No cumple</t>
        </is>
      </c>
      <c r="K13" s="5" t="inlineStr">
        <is>
          <t>—</t>
        </is>
      </c>
      <c r="L13" s="5" t="inlineStr">
        <is>
          <t>—</t>
        </is>
      </c>
      <c r="M13" s="5" t="inlineStr">
        <is>
          <t>Pendiente</t>
        </is>
      </c>
      <c r="N13" s="5" t="inlineStr">
        <is>
          <t>Auditor de requisitos</t>
        </is>
      </c>
      <c r="O13" s="5" t="inlineStr">
        <is>
          <t>Decisión de producto en F7.4. Exige S-07 con licencia limpia, G-11 y la web publicada (X-02). Cuentas, costes y archivos necesarios: roadmap, Inventario de lanzamiento.</t>
        </is>
      </c>
      <c r="P13" s="6" t="n"/>
      <c r="Q13" s="5" t="inlineStr"/>
    </row>
    <row r="14" ht="120" customHeight="1">
      <c r="A14" s="4" t="inlineStr">
        <is>
          <t>G-10</t>
        </is>
      </c>
      <c r="B14" s="5" t="inlineStr">
        <is>
          <t>Requisitos generales y de producto</t>
        </is>
      </c>
      <c r="C14" s="5" t="inlineStr">
        <is>
          <t>Control de versiones de la app: cada versión tiene número propio con la pauta 0.‹fase›.‹corrección› —1.0.0 en el lanzamiento—, se registra en CHANGELOG.md y se muestra en Ajustes.</t>
        </is>
      </c>
      <c r="D14" s="5" t="inlineStr">
        <is>
          <t>Alta</t>
        </is>
      </c>
      <c r="E14" s="5" t="inlineStr">
        <is>
          <t>Cliente · 14/10</t>
        </is>
      </c>
      <c r="F14" s="5" t="inlineStr">
        <is>
          <t>F1</t>
        </is>
      </c>
      <c r="G14" s="5" t="inlineStr">
        <is>
          <t>F1.3</t>
        </is>
      </c>
      <c r="H14" s="5" t="inlineStr">
        <is>
          <t>I</t>
        </is>
      </c>
      <c r="I14" s="5" t="inlineStr">
        <is>
          <t>Ajustes muestra la versión; CHANGELOG.md tiene una entrada por versión; existe la etiqueta de Git de cada cierre de fase.</t>
        </is>
      </c>
      <c r="J14" s="5" t="inlineStr">
        <is>
          <t>Cumple</t>
        </is>
      </c>
      <c r="K14" s="5" t="inlineStr">
        <is>
          <t>0.1.2</t>
        </is>
      </c>
      <c r="L14" s="5" t="inlineStr">
        <is>
          <t>Banco (node --test) · CHANGELOG.md · F1.1 #12 · etiquetas v0.1.5, v0.2.3 y v0.3.3 (21/10)</t>
        </is>
      </c>
      <c r="M14" s="5" t="inlineStr">
        <is>
          <t>Verificado</t>
        </is>
      </c>
      <c r="N14" s="5" t="inlineStr">
        <is>
          <t>Auditor de requisitos</t>
        </is>
      </c>
      <c r="O14" s="5" t="inlineStr">
        <is>
          <t>Vincula cada versión con su fase del roadmap. Cada fase cerrada se marca además con una etiqueta de Git (F1.4). Validado el 21/10: la Sesión 1 (A02) vio la versión en Ajustes, CHANGELOG tiene cada versión y existen las etiquetas v0.1.5, v0.2.3 y v0.3.3 de los cierres de F1, F2 y F3 (las creaste tú en GitHub).</t>
        </is>
      </c>
      <c r="P14" s="6" t="n"/>
      <c r="Q14" s="5" t="inlineStr"/>
    </row>
    <row r="15" ht="63" customHeight="1">
      <c r="A15" s="4" t="inlineStr">
        <is>
          <t>G-11</t>
        </is>
      </c>
      <c r="B15" s="5" t="inlineStr">
        <is>
          <t>Requisitos generales y de producto</t>
        </is>
      </c>
      <c r="C15" s="5" t="inlineStr">
        <is>
          <t>Privacidad: la app no recoge ni envía datos personales; el sonido del micrófono se analiza solo en el dispositivo. Una política de privacidad pública lo declara.</t>
        </is>
      </c>
      <c r="D15" s="5" t="inlineStr">
        <is>
          <t>Alta</t>
        </is>
      </c>
      <c r="E15" s="5" t="inlineStr">
        <is>
          <t>Desarrollo · v1.2</t>
        </is>
      </c>
      <c r="F15" s="5" t="inlineStr">
        <is>
          <t>F6</t>
        </is>
      </c>
      <c r="G15" s="5" t="inlineStr">
        <is>
          <t>F6.4</t>
        </is>
      </c>
      <c r="H15" s="5" t="inlineStr">
        <is>
          <t>I</t>
        </is>
      </c>
      <c r="I15" s="5" t="inlineStr">
        <is>
          <t>La política de privacidad está publicada y la app no envía ninguna petición con datos del usuario (pestaña Red).</t>
        </is>
      </c>
      <c r="J15" s="5" t="inlineStr">
        <is>
          <t>No cumple</t>
        </is>
      </c>
      <c r="K15" s="5" t="inlineStr">
        <is>
          <t>—</t>
        </is>
      </c>
      <c r="L15" s="5" t="inlineStr">
        <is>
          <t>—</t>
        </is>
      </c>
      <c r="M15" s="5" t="inlineStr">
        <is>
          <t>Pendiente</t>
        </is>
      </c>
      <c r="N15" s="5" t="inlineStr">
        <is>
          <t>Auditor de requisitos</t>
        </is>
      </c>
      <c r="O15" s="5" t="inlineStr">
        <is>
          <t>Las tiendas exigen política de privacidad, y el micrófono la hace necesaria también por transparencia. Hoy la app ya no envía nada: solo guarda ajustes en el propio navegador.</t>
        </is>
      </c>
      <c r="P15" s="6" t="n"/>
      <c r="Q15" s="5" t="inlineStr"/>
    </row>
    <row r="16" ht="120" customHeight="1">
      <c r="A16" s="4" t="inlineStr">
        <is>
          <t>G-12</t>
        </is>
      </c>
      <c r="B16" s="5" t="inlineStr">
        <is>
          <t>Requisitos generales y de producto</t>
        </is>
      </c>
      <c r="C16" s="5" t="inlineStr">
        <is>
          <t>Idioma de la interfaz: la app está en español y en inglés, y se cambia en Ajustes. La primera vez sigue el idioma del navegador; la elección se guarda.</t>
        </is>
      </c>
      <c r="D16" s="5" t="inlineStr">
        <is>
          <t>Media</t>
        </is>
      </c>
      <c r="E16" s="5" t="inlineStr">
        <is>
          <t>Cliente · listado 14/09</t>
        </is>
      </c>
      <c r="F16" s="5" t="inlineStr">
        <is>
          <t>F4</t>
        </is>
      </c>
      <c r="G16" s="5" t="inlineStr">
        <is>
          <t>F4.5</t>
        </is>
      </c>
      <c r="H16" s="5" t="inlineStr">
        <is>
          <t>D</t>
        </is>
      </c>
      <c r="I16" s="5" t="inlineStr">
        <is>
          <t>En Ajustes, Español / English cambia todos los textos de la app; la elección se guarda; la primera vez sigue al navegador.</t>
        </is>
      </c>
      <c r="J16" s="5" t="inlineStr">
        <is>
          <t>Cumple</t>
        </is>
      </c>
      <c r="K16" s="5" t="inlineStr">
        <is>
          <t>0.4.2</t>
        </is>
      </c>
      <c r="L16" s="5" t="inlineStr">
        <is>
          <t>Banco (node --test): mismas claves en las dos lenguas, cambio y vuelta, primera vez según el navegador · comprobar-disposicion.js con IDIOMA=en-US</t>
        </is>
      </c>
      <c r="M16" s="5" t="inlineStr">
        <is>
          <t>Pendiente</t>
        </is>
      </c>
      <c r="N16" s="5" t="inlineStr">
        <is>
          <t>Cliente</t>
        </is>
      </c>
      <c r="O16" s="5" t="inlineStr">
        <is>
          <t>Tu petición del 21/10. Hecho en la 0.4.2: Ajustes › «Idioma · Language» (Español / English), cada idioma nombrado en su lengua. Todos los textos tienen clave y versión en las dos lenguas (el banco lo comprueba); los nombres de las notas siguen su propio ajuste (Do Re Mi o C D E), aunque quien estrena la app en inglés empieza con C D E. Restablecer no cambia el idioma. Falta que veas la app en inglés y digas si algo suena raro.</t>
        </is>
      </c>
      <c r="P16" s="6" t="n"/>
      <c r="Q16" s="5" t="inlineStr"/>
    </row>
    <row r="17" ht="48" customHeight="1">
      <c r="A17" s="4" t="inlineStr">
        <is>
          <t>PL-01</t>
        </is>
      </c>
      <c r="B17" s="5" t="inlineStr">
        <is>
          <t>Plataformas</t>
        </is>
      </c>
      <c r="C17" s="5" t="inlineStr">
        <is>
          <t>Windows: la app funciona en Chrome, Edge y Firefox actuales —en modo archivo, local y web— e instalada como PWA desde Edge o Chrome.</t>
        </is>
      </c>
      <c r="D17" s="5" t="inlineStr">
        <is>
          <t>Alta</t>
        </is>
      </c>
      <c r="E17" s="5" t="inlineStr">
        <is>
          <t>Cliente · 14/10</t>
        </is>
      </c>
      <c r="F17" s="5" t="inlineStr">
        <is>
          <t>F2 · F7</t>
        </is>
      </c>
      <c r="G17" s="5" t="inlineStr">
        <is>
          <t>F2.5 · F7.2</t>
        </is>
      </c>
      <c r="H17" s="5" t="inlineStr">
        <is>
          <t>D</t>
        </is>
      </c>
      <c r="I17" s="5" t="inlineStr">
        <is>
          <t>La lista de F1.1 se supera en Chrome, Edge y Firefox en Windows, y la app se instala como PWA desde Edge.</t>
        </is>
      </c>
      <c r="J17" s="5" t="inlineStr">
        <is>
          <t>Cumple parcialmente</t>
        </is>
      </c>
      <c r="K17" s="5" t="inlineStr">
        <is>
          <t>0.1.0</t>
        </is>
      </c>
      <c r="L17" s="5" t="inlineStr">
        <is>
          <t>—</t>
        </is>
      </c>
      <c r="M17" s="5" t="inlineStr">
        <is>
          <t>Pendiente</t>
        </is>
      </c>
      <c r="N17" s="5" t="inlineStr">
        <is>
          <t>Cliente</t>
        </is>
      </c>
      <c r="O17" s="5" t="inlineStr">
        <is>
          <t>Es la plataforma de desarrollo y la mejor cubierta. Tienda: Microsoft Store (F7.4).</t>
        </is>
      </c>
      <c r="P17" s="6" t="n"/>
      <c r="Q17" s="5" t="inlineStr"/>
    </row>
    <row r="18" ht="120" customHeight="1">
      <c r="A18" s="4" t="inlineStr">
        <is>
          <t>PL-02</t>
        </is>
      </c>
      <c r="B18" s="5" t="inlineStr">
        <is>
          <t>Plataformas</t>
        </is>
      </c>
      <c r="C18" s="5" t="inlineStr">
        <is>
          <t>Android: la app funciona en Chrome —en web e instalada como PWA— y, si es viable, en modo archivo.</t>
        </is>
      </c>
      <c r="D18" s="5" t="inlineStr">
        <is>
          <t>Alta</t>
        </is>
      </c>
      <c r="E18" s="5" t="inlineStr">
        <is>
          <t>Cliente · 14/10</t>
        </is>
      </c>
      <c r="F18" s="5" t="inlineStr">
        <is>
          <t>F2 · F7</t>
        </is>
      </c>
      <c r="G18" s="5" t="inlineStr">
        <is>
          <t>F2.5 · F7.2</t>
        </is>
      </c>
      <c r="H18" s="5" t="inlineStr">
        <is>
          <t>D</t>
        </is>
      </c>
      <c r="I18" s="5" t="inlineStr">
        <is>
          <t>La lista de comprobación se supera en Chrome para Android, en web y con la PWA instalada.</t>
        </is>
      </c>
      <c r="J18" s="5" t="inlineStr">
        <is>
          <t>Cumple parcialmente</t>
        </is>
      </c>
      <c r="K18" s="5" t="inlineStr">
        <is>
          <t>0.1.0</t>
        </is>
      </c>
      <c r="L18" s="5" t="inlineStr">
        <is>
          <t>—</t>
        </is>
      </c>
      <c r="M18" s="5" t="inlineStr">
        <is>
          <t>Pendiente</t>
        </is>
      </c>
      <c r="N18" s="5" t="inlineStr">
        <is>
          <t>Cliente</t>
        </is>
      </c>
      <c r="O18" s="5" t="inlineStr">
        <is>
          <t>Modo archivo: abrir el HTML descargado con Chrome; a verificar en F2.5. Tienda: Google Play empaquetando la PWA (F7.4). Sin Android de pruebas por ahora (decisión del 15/10): mantiene la prioridad Alta, se valida con el simulador de dispositivos de Chrome como evidencia parcial y en un Android real en cuanto haya uno, como tarde en F7.2.</t>
        </is>
      </c>
      <c r="P18" s="6" t="n"/>
      <c r="Q18" s="5" t="inlineStr"/>
    </row>
    <row r="19" ht="120" customHeight="1">
      <c r="A19" s="4" t="inlineStr">
        <is>
          <t>PL-03</t>
        </is>
      </c>
      <c r="B19" s="5" t="inlineStr">
        <is>
          <t>Plataformas</t>
        </is>
      </c>
      <c r="C19" s="5" t="inlineStr">
        <is>
          <t>iPhone y iPad: la app funciona en Safari, en web e instalada con «Añadir a pantalla de inicio».</t>
        </is>
      </c>
      <c r="D19" s="5" t="inlineStr">
        <is>
          <t>Alta</t>
        </is>
      </c>
      <c r="E19" s="5" t="inlineStr">
        <is>
          <t>Cliente · 14/10</t>
        </is>
      </c>
      <c r="F19" s="5" t="inlineStr">
        <is>
          <t>F2 · F7</t>
        </is>
      </c>
      <c r="G19" s="5" t="inlineStr">
        <is>
          <t>F2.5 · F7.2</t>
        </is>
      </c>
      <c r="H19" s="5" t="inlineStr">
        <is>
          <t>D</t>
        </is>
      </c>
      <c r="I19" s="5" t="inlineStr">
        <is>
          <t>La lista de comprobación se supera en Safari para iOS, en web y desde la pantalla de inicio.</t>
        </is>
      </c>
      <c r="J19" s="5" t="inlineStr">
        <is>
          <t>Cumple parcialmente</t>
        </is>
      </c>
      <c r="K19" s="5" t="inlineStr">
        <is>
          <t>0.1.0</t>
        </is>
      </c>
      <c r="L19" s="5" t="inlineStr">
        <is>
          <t>—</t>
        </is>
      </c>
      <c r="M19" s="5" t="inlineStr">
        <is>
          <t>Pendiente</t>
        </is>
      </c>
      <c r="N19" s="5" t="inlineStr">
        <is>
          <t>Cliente</t>
        </is>
      </c>
      <c r="O19" s="5" t="inlineStr">
        <is>
          <t>Modo archivo probablemente inviable: la vista previa de la app Archivos no ejecuta JavaScript (a confirmar en F2.5). Alternativas: el navegador integrado de una app de terceros o un despliegue de pruebas. Tienda: App Store exige un Mac con Xcode y la cuenta de desarrollador de Apple (F7.4). Móvil de referencia del proyecto desde el 14/10. Hasta publicar, se prueba con la app servida desde el ordenador por WiFi (Live Server): funciona todo salvo el micrófono y la instalación.</t>
        </is>
      </c>
      <c r="P19" s="6" t="n"/>
      <c r="Q19" s="5" t="inlineStr"/>
    </row>
    <row r="20" ht="120" customHeight="1">
      <c r="A20" s="4" t="inlineStr">
        <is>
          <t>PL-04</t>
        </is>
      </c>
      <c r="B20" s="5" t="inlineStr">
        <is>
          <t>Plataformas</t>
        </is>
      </c>
      <c r="C20" s="5" t="inlineStr">
        <is>
          <t>Adaptabilidad entre sistemas: la app solo usa estándares web; detecta cada capacidad en lugar del sistema, y toda capacidad que no esté en Windows, Android e iPhone tiene alternativa, de modo que la app sigue funcionando donde falta.</t>
        </is>
      </c>
      <c r="D20" s="5" t="inlineStr">
        <is>
          <t>Alta</t>
        </is>
      </c>
      <c r="E20" s="5" t="inlineStr">
        <is>
          <t>Cliente · 14/10</t>
        </is>
      </c>
      <c r="F20" s="5" t="inlineStr">
        <is>
          <t>F2 · F3 · F7</t>
        </is>
      </c>
      <c r="G20" s="5" t="inlineStr">
        <is>
          <t>F2.2 · F3.2 · F7.2</t>
        </is>
      </c>
      <c r="H20" s="5" t="inlineStr">
        <is>
          <t>I+T</t>
        </is>
      </c>
      <c r="I20" s="5" t="inlineStr">
        <is>
          <t>Cada capacidad del navegador que usa la app figura en docs/compatibilidad.md con su comportamiento en Windows, Android e iPhone y su alternativa; el banco arranca la app sin vibración ni audio y funciona.</t>
        </is>
      </c>
      <c r="J20" s="5" t="inlineStr">
        <is>
          <t>Cumple parcialmente</t>
        </is>
      </c>
      <c r="K20" s="5" t="inlineStr">
        <is>
          <t>0.1.4</t>
        </is>
      </c>
      <c r="L20" s="5" t="inlineStr">
        <is>
          <t>docs/compatibilidad.md v1.5 · Banco (node --test): sin matchMedia ni history</t>
        </is>
      </c>
      <c r="M20" s="5" t="inlineStr">
        <is>
          <t>Verificado parcialmente</t>
        </is>
      </c>
      <c r="N20" s="5" t="inlineStr">
        <is>
          <t>Cliente</t>
        </is>
      </c>
      <c r="O20" s="5" t="inlineStr">
        <is>
          <t>Decisión del 15/10. Inventario de capacidades, comportamiento por sistema y alternativas en docs/compatibilidad.md, que se revisa en cada etapa que añade una capacidad. Hoy ya se cumple para la vibración (se omite donde no existe) y para el audio interrumpido de iOS (0.1.4). En F3.2 (0.3.0) se añaden el tipo de puntero, el historial, grid y display: contents, y position: sticky, cada uno con su alternativa (compatibilidad.md v1.2), y el banco arranca la app sin ellos. Desde la 0.3.3: visibilitychange y suspend()/close() del audio, con su alternativa en compatibilidad.md v1.4. Desde la 0.4.0: hilo aparte (Worker), con el detector en el principal si falta, y micrófono (getUserMedia), con el motivo y De oído si falta (compatibilidad.md v1.5).</t>
        </is>
      </c>
      <c r="P20" s="6" t="n"/>
      <c r="Q20" s="5" t="inlineStr"/>
    </row>
    <row r="21" ht="33" customHeight="1">
      <c r="A21" s="4" t="inlineStr">
        <is>
          <t>N-01</t>
        </is>
      </c>
      <c r="B21" s="5" t="inlineStr">
        <is>
          <t>Nomenclatura y notación</t>
        </is>
      </c>
      <c r="C21" s="5" t="inlineStr">
        <is>
          <t>Alternancia entre nomenclatura latina (Do, Re, Mi…) y anglosajona (C, D, E…).</t>
        </is>
      </c>
      <c r="D21" s="5" t="inlineStr">
        <is>
          <t>Alta</t>
        </is>
      </c>
      <c r="E21" s="5" t="inlineStr">
        <is>
          <t>Cliente · listado 14/09</t>
        </is>
      </c>
      <c r="F21" s="5" t="inlineStr">
        <is>
          <t>F1</t>
        </is>
      </c>
      <c r="G21" s="5" t="inlineStr">
        <is>
          <t>F1.1</t>
        </is>
      </c>
      <c r="H21" s="5" t="inlineStr">
        <is>
          <t>D</t>
        </is>
      </c>
      <c r="I21" s="5" t="inlineStr">
        <is>
          <t>El chip de nomenclatura alterna todos los nombres entre Do-Re-Mi y C-D-E.</t>
        </is>
      </c>
      <c r="J21" s="5" t="inlineStr">
        <is>
          <t>Cumple</t>
        </is>
      </c>
      <c r="K21" s="5" t="inlineStr">
        <is>
          <t>0.1.0 **Validado en la Sesión 1** (20/10, informe `V-08`): A06.</t>
        </is>
      </c>
      <c r="L21" s="5" t="inlineStr">
        <is>
          <t>F1.1 #6 · Sesión 1: A06</t>
        </is>
      </c>
      <c r="M21" s="5" t="inlineStr">
        <is>
          <t>Verificado</t>
        </is>
      </c>
      <c r="N21" s="5" t="inlineStr">
        <is>
          <t>Cliente</t>
        </is>
      </c>
      <c r="O21" s="5" t="inlineStr"/>
      <c r="P21" s="6" t="n"/>
      <c r="Q21" s="5" t="inlineStr"/>
    </row>
    <row r="22" ht="33" customHeight="1">
      <c r="A22" s="4" t="inlineStr">
        <is>
          <t>N-02</t>
        </is>
      </c>
      <c r="B22" s="5" t="inlineStr">
        <is>
          <t>Nomenclatura y notación</t>
        </is>
      </c>
      <c r="C22" s="5" t="inlineStr">
        <is>
          <t>El cambio de nomenclatura está en el menú de configuración.</t>
        </is>
      </c>
      <c r="D22" s="5" t="inlineStr">
        <is>
          <t>Alta</t>
        </is>
      </c>
      <c r="E22" s="5" t="inlineStr">
        <is>
          <t>Cliente · listado 14/09</t>
        </is>
      </c>
      <c r="F22" s="5" t="inlineStr">
        <is>
          <t>F1</t>
        </is>
      </c>
      <c r="G22" s="5" t="inlineStr">
        <is>
          <t>F1.1</t>
        </is>
      </c>
      <c r="H22" s="5" t="inlineStr">
        <is>
          <t>D</t>
        </is>
      </c>
      <c r="I22" s="5" t="inlineStr">
        <is>
          <t>El selector de Ajustes produce el mismo cambio que el chip.</t>
        </is>
      </c>
      <c r="J22" s="5" t="inlineStr">
        <is>
          <t>Cumple</t>
        </is>
      </c>
      <c r="K22" s="5" t="inlineStr">
        <is>
          <t>0.1.0</t>
        </is>
      </c>
      <c r="L22" s="5" t="inlineStr">
        <is>
          <t>F1.1 #14</t>
        </is>
      </c>
      <c r="M22" s="5" t="inlineStr">
        <is>
          <t>Pendiente</t>
        </is>
      </c>
      <c r="N22" s="5" t="inlineStr">
        <is>
          <t>Cliente</t>
        </is>
      </c>
      <c r="O22" s="5" t="inlineStr"/>
      <c r="P22" s="6" t="n"/>
      <c r="Q22" s="5" t="inlineStr"/>
    </row>
    <row r="23" ht="33" customHeight="1">
      <c r="A23" s="4" t="inlineStr">
        <is>
          <t>N-03</t>
        </is>
      </c>
      <c r="B23" s="5" t="inlineStr">
        <is>
          <t>Nomenclatura y notación</t>
        </is>
      </c>
      <c r="C23" s="5" t="inlineStr">
        <is>
          <t>El cambio de nomenclatura está además en la interfaz principal, sin abrir el menú.</t>
        </is>
      </c>
      <c r="D23" s="5" t="inlineStr">
        <is>
          <t>Alta</t>
        </is>
      </c>
      <c r="E23" s="5" t="inlineStr">
        <is>
          <t>Cliente · listado 14/09</t>
        </is>
      </c>
      <c r="F23" s="5" t="inlineStr">
        <is>
          <t>F1</t>
        </is>
      </c>
      <c r="G23" s="5" t="inlineStr">
        <is>
          <t>F1.1</t>
        </is>
      </c>
      <c r="H23" s="5" t="inlineStr">
        <is>
          <t>D</t>
        </is>
      </c>
      <c r="I23" s="5" t="inlineStr">
        <is>
          <t>El chip está visible en la barra de acceso rápido sin abrir ningún menú.</t>
        </is>
      </c>
      <c r="J23" s="5" t="inlineStr">
        <is>
          <t>Cumple</t>
        </is>
      </c>
      <c r="K23" s="5" t="inlineStr">
        <is>
          <t>0.1.0</t>
        </is>
      </c>
      <c r="L23" s="5" t="inlineStr">
        <is>
          <t>F1.1 #14 · Sesión 1: A06</t>
        </is>
      </c>
      <c r="M23" s="5" t="inlineStr">
        <is>
          <t>Verificado</t>
        </is>
      </c>
      <c r="N23" s="5" t="inlineStr">
        <is>
          <t>Cliente</t>
        </is>
      </c>
      <c r="O23" s="5" t="inlineStr">
        <is>
          <t>Chip en la barra de acceso rápido. Validado en la Sesión 1 (20/10, informe V-08): A06.</t>
        </is>
      </c>
      <c r="P23" s="6" t="n"/>
      <c r="Q23" s="5" t="inlineStr"/>
    </row>
    <row r="24" ht="78" customHeight="1">
      <c r="A24" s="4" t="inlineStr">
        <is>
          <t>N-04</t>
        </is>
      </c>
      <c r="B24" s="5" t="inlineStr">
        <is>
          <t>Nomenclatura y notación</t>
        </is>
      </c>
      <c r="C24" s="5" t="inlineStr">
        <is>
          <t>La nomenclatura se aplica de forma consistente en mástil, juego, afinador y pentagrama.</t>
        </is>
      </c>
      <c r="D24" s="5" t="inlineStr">
        <is>
          <t>Alta</t>
        </is>
      </c>
      <c r="E24" s="5" t="inlineStr">
        <is>
          <t>Cliente · listado 14/09</t>
        </is>
      </c>
      <c r="F24" s="5" t="inlineStr">
        <is>
          <t>F1</t>
        </is>
      </c>
      <c r="G24" s="5" t="inlineStr">
        <is>
          <t>F1.1</t>
        </is>
      </c>
      <c r="H24" s="5" t="inlineStr">
        <is>
          <t>D</t>
        </is>
      </c>
      <c r="I24" s="5" t="inlineStr">
        <is>
          <t>Tras cambiar la nomenclatura, mástil, cuerdas, lector de nota, pistas y afinador usan la nueva.</t>
        </is>
      </c>
      <c r="J24" s="5" t="inlineStr">
        <is>
          <t>Cumple</t>
        </is>
      </c>
      <c r="K24" s="5" t="inlineStr">
        <is>
          <t>0.1.0</t>
        </is>
      </c>
      <c r="L24" s="5" t="inlineStr">
        <is>
          <t>F1.1 #6 · Sesión 1: A06</t>
        </is>
      </c>
      <c r="M24" s="5" t="inlineStr">
        <is>
          <t>Verificado</t>
        </is>
      </c>
      <c r="N24" s="5" t="inlineStr">
        <is>
          <t>Cliente</t>
        </is>
      </c>
      <c r="O24" s="5" t="inlineStr">
        <is>
          <t>Verificar de nuevo al añadir Escalas (F5). Validado en la Sesión 1 (20/10, informe V-08): A06. Desde la 0.5.0, también Escalas: tónicas, nombres escritos e intervalos siguen la nomenclatura.</t>
        </is>
      </c>
      <c r="P24" s="6" t="n"/>
      <c r="Q24" s="5" t="inlineStr">
        <is>
          <t>Modificado</t>
        </is>
      </c>
    </row>
    <row r="25" ht="33" customHeight="1">
      <c r="A25" s="4" t="inlineStr">
        <is>
          <t>N-05</t>
        </is>
      </c>
      <c r="B25" s="5" t="inlineStr">
        <is>
          <t>Nomenclatura y notación</t>
        </is>
      </c>
      <c r="C25" s="5" t="inlineStr">
        <is>
          <t>La nomenclatura persiste entre sesiones.</t>
        </is>
      </c>
      <c r="D25" s="5" t="inlineStr">
        <is>
          <t>Media</t>
        </is>
      </c>
      <c r="E25" s="5" t="inlineStr">
        <is>
          <t>Cliente · listado 14/09</t>
        </is>
      </c>
      <c r="F25" s="5" t="inlineStr">
        <is>
          <t>F1</t>
        </is>
      </c>
      <c r="G25" s="5" t="inlineStr">
        <is>
          <t>F1.1</t>
        </is>
      </c>
      <c r="H25" s="5" t="inlineStr">
        <is>
          <t>D</t>
        </is>
      </c>
      <c r="I25" s="5" t="inlineStr">
        <is>
          <t>Tras recargar la página se mantiene la nomenclatura elegida.</t>
        </is>
      </c>
      <c r="J25" s="5" t="inlineStr">
        <is>
          <t>Cumple</t>
        </is>
      </c>
      <c r="K25" s="5" t="inlineStr">
        <is>
          <t>0.1.0</t>
        </is>
      </c>
      <c r="L25" s="5" t="inlineStr">
        <is>
          <t>F1.1 #13</t>
        </is>
      </c>
      <c r="M25" s="5" t="inlineStr">
        <is>
          <t>Pendiente</t>
        </is>
      </c>
      <c r="N25" s="5" t="inlineStr">
        <is>
          <t>Cliente</t>
        </is>
      </c>
      <c r="O25" s="5" t="inlineStr">
        <is>
          <t>localStorage.</t>
        </is>
      </c>
      <c r="P25" s="6" t="n"/>
      <c r="Q25" s="5" t="inlineStr"/>
    </row>
    <row r="26" ht="33" customHeight="1">
      <c r="A26" s="4" t="inlineStr">
        <is>
          <t>D-01</t>
        </is>
      </c>
      <c r="B26" s="5" t="inlineStr">
        <is>
          <t>Diapasón</t>
        </is>
      </c>
      <c r="C26" s="5" t="inlineStr">
        <is>
          <t>Diagrama del mástil de 6 cuerdas.</t>
        </is>
      </c>
      <c r="D26" s="5" t="inlineStr">
        <is>
          <t>Alta</t>
        </is>
      </c>
      <c r="E26" s="5" t="inlineStr">
        <is>
          <t>Cliente · listado 14/09</t>
        </is>
      </c>
      <c r="F26" s="5" t="inlineStr">
        <is>
          <t>F1</t>
        </is>
      </c>
      <c r="G26" s="5" t="inlineStr">
        <is>
          <t>F1.1</t>
        </is>
      </c>
      <c r="H26" s="5" t="inlineStr">
        <is>
          <t>I</t>
        </is>
      </c>
      <c r="I26" s="5" t="inlineStr">
        <is>
          <t>Se dibujan 6 cuerdas con 25 posiciones cada una: cejuela y 24 trastes.</t>
        </is>
      </c>
      <c r="J26" s="5" t="inlineStr">
        <is>
          <t>Cumple</t>
        </is>
      </c>
      <c r="K26" s="5" t="inlineStr">
        <is>
          <t>0.1.0</t>
        </is>
      </c>
      <c r="L26" s="5" t="inlineStr">
        <is>
          <t>Banco (node --test): 150 celdas</t>
        </is>
      </c>
      <c r="M26" s="5" t="inlineStr">
        <is>
          <t>Verificado parcialmente</t>
        </is>
      </c>
      <c r="N26" s="5" t="inlineStr">
        <is>
          <t>Auditor de requisitos</t>
        </is>
      </c>
      <c r="O26" s="5" t="inlineStr"/>
      <c r="P26" s="6" t="n"/>
      <c r="Q26" s="5" t="inlineStr"/>
    </row>
    <row r="27" ht="33" customHeight="1">
      <c r="A27" s="4" t="inlineStr">
        <is>
          <t>D-02</t>
        </is>
      </c>
      <c r="B27" s="5" t="inlineStr">
        <is>
          <t>Diapasón</t>
        </is>
      </c>
      <c r="C27" s="5" t="inlineStr">
        <is>
          <t>Cada cuerda muestra a la izquierda su nota al aire, derivada de la afinación activa.</t>
        </is>
      </c>
      <c r="D27" s="5" t="inlineStr">
        <is>
          <t>Alta</t>
        </is>
      </c>
      <c r="E27" s="5" t="inlineStr">
        <is>
          <t>Cliente · listado 14/09</t>
        </is>
      </c>
      <c r="F27" s="5" t="inlineStr">
        <is>
          <t>F1</t>
        </is>
      </c>
      <c r="G27" s="5" t="inlineStr">
        <is>
          <t>F1.1</t>
        </is>
      </c>
      <c r="H27" s="5" t="inlineStr">
        <is>
          <t>D</t>
        </is>
      </c>
      <c r="I27" s="5" t="inlineStr">
        <is>
          <t>La etiqueta de cada cuerda coincide con la afinación activa y cambia al cambiarla.</t>
        </is>
      </c>
      <c r="J27" s="5" t="inlineStr">
        <is>
          <t>Cumple</t>
        </is>
      </c>
      <c r="K27" s="5" t="inlineStr">
        <is>
          <t>0.1.0</t>
        </is>
      </c>
      <c r="L27" s="5" t="inlineStr">
        <is>
          <t>Banco (node --test): Drop D</t>
        </is>
      </c>
      <c r="M27" s="5" t="inlineStr">
        <is>
          <t>Verificado parcialmente</t>
        </is>
      </c>
      <c r="N27" s="5" t="inlineStr">
        <is>
          <t>Cliente</t>
        </is>
      </c>
      <c r="O27" s="5" t="inlineStr">
        <is>
          <t>Se actualiza sola al cambiar de afinación (A-10).</t>
        </is>
      </c>
      <c r="P27" s="6" t="n"/>
      <c r="Q27" s="5" t="inlineStr"/>
    </row>
    <row r="28" ht="48" customHeight="1">
      <c r="A28" s="4" t="inlineStr">
        <is>
          <t>D-03</t>
        </is>
      </c>
      <c r="B28" s="5" t="inlineStr">
        <is>
          <t>Diapasón</t>
        </is>
      </c>
      <c r="C28" s="5" t="inlineStr">
        <is>
          <t>Cada traste muestra su número alineado exactamente sobre la franja donde se pulsa.</t>
        </is>
      </c>
      <c r="D28" s="5" t="inlineStr">
        <is>
          <t>Alta</t>
        </is>
      </c>
      <c r="E28" s="5" t="inlineStr">
        <is>
          <t>Cliente · listado 14/09</t>
        </is>
      </c>
      <c r="F28" s="5" t="inlineStr">
        <is>
          <t>F1</t>
        </is>
      </c>
      <c r="G28" s="5" t="inlineStr">
        <is>
          <t>F1.1</t>
        </is>
      </c>
      <c r="H28" s="5" t="inlineStr">
        <is>
          <t>I</t>
        </is>
      </c>
      <c r="I28" s="5" t="inlineStr">
        <is>
          <t>Cada número de traste queda centrado sobre su franja con cualquier nivel de zoom.</t>
        </is>
      </c>
      <c r="J28" s="5" t="inlineStr">
        <is>
          <t>Cumple</t>
        </is>
      </c>
      <c r="K28" s="5" t="inlineStr">
        <is>
          <t>0.1.0</t>
        </is>
      </c>
      <c r="L28" s="5" t="inlineStr">
        <is>
          <t>F1.1 #7</t>
        </is>
      </c>
      <c r="M28" s="5" t="inlineStr">
        <is>
          <t>Pendiente</t>
        </is>
      </c>
      <c r="N28" s="5" t="inlineStr">
        <is>
          <t>Auditor de requisitos</t>
        </is>
      </c>
      <c r="O28" s="5" t="inlineStr">
        <is>
          <t>La fila de números comparte las mismas variables de ancho (--label-w, --nut-w, --fret-w) que las celdas.</t>
        </is>
      </c>
      <c r="P28" s="6" t="n"/>
      <c r="Q28" s="5" t="inlineStr"/>
    </row>
    <row r="29" ht="63" customHeight="1">
      <c r="A29" s="4" t="inlineStr">
        <is>
          <t>D-04</t>
        </is>
      </c>
      <c r="B29" s="5" t="inlineStr">
        <is>
          <t>Diapasón</t>
        </is>
      </c>
      <c r="C29" s="5" t="inlineStr">
        <is>
          <t>La numeración de trastes tiene tres modos: todos, guía (solo los trastes con marca) y ninguno.</t>
        </is>
      </c>
      <c r="D29" s="5" t="inlineStr">
        <is>
          <t>Media</t>
        </is>
      </c>
      <c r="E29" s="5" t="inlineStr">
        <is>
          <t>Cliente · listado 14/09</t>
        </is>
      </c>
      <c r="F29" s="5" t="inlineStr">
        <is>
          <t>F1</t>
        </is>
      </c>
      <c r="G29" s="5" t="inlineStr">
        <is>
          <t>F1.3</t>
        </is>
      </c>
      <c r="H29" s="5" t="inlineStr">
        <is>
          <t>T</t>
        </is>
      </c>
      <c r="I29" s="5" t="inlineStr">
        <is>
          <t>Los modos Todos, Guía y No muestran todos los números, solo los de trastes con marca, o ninguno.</t>
        </is>
      </c>
      <c r="J29" s="5" t="inlineStr">
        <is>
          <t>Cumple</t>
        </is>
      </c>
      <c r="K29" s="5" t="inlineStr">
        <is>
          <t>0.1.2</t>
        </is>
      </c>
      <c r="L29" s="5" t="inlineStr">
        <is>
          <t>Banco (node --test) · F1.1 #11 · Sesión 1: A11</t>
        </is>
      </c>
      <c r="M29" s="5" t="inlineStr">
        <is>
          <t>Verificado</t>
        </is>
      </c>
      <c r="N29" s="5" t="inlineStr">
        <is>
          <t>Banco automático + auditor técnico</t>
        </is>
      </c>
      <c r="O29" s="5" t="inlineStr">
        <is>
          <t>Sustituye al interruptor de la 0.1.1; quien lo tuviera apagado pasa automáticamente a «ninguno». Validado en la Sesión 1 (20/10, informe V-08): A11.</t>
        </is>
      </c>
      <c r="P29" s="6" t="n"/>
      <c r="Q29" s="5" t="inlineStr"/>
    </row>
    <row r="30" ht="33" customHeight="1">
      <c r="A30" s="4" t="inlineStr">
        <is>
          <t>D-05</t>
        </is>
      </c>
      <c r="B30" s="5" t="inlineStr">
        <is>
          <t>Diapasón</t>
        </is>
      </c>
      <c r="C30" s="5" t="inlineStr">
        <is>
          <t>Al pulsar una posición suena esa nota.</t>
        </is>
      </c>
      <c r="D30" s="5" t="inlineStr">
        <is>
          <t>Alta</t>
        </is>
      </c>
      <c r="E30" s="5" t="inlineStr">
        <is>
          <t>Cliente · listado 14/09</t>
        </is>
      </c>
      <c r="F30" s="5" t="inlineStr">
        <is>
          <t>F1</t>
        </is>
      </c>
      <c r="G30" s="5" t="inlineStr">
        <is>
          <t>F1.1</t>
        </is>
      </c>
      <c r="H30" s="5" t="inlineStr">
        <is>
          <t>D</t>
        </is>
      </c>
      <c r="I30" s="5" t="inlineStr">
        <is>
          <t>Pulsar una posición reproduce su nota sin retardo perceptible.</t>
        </is>
      </c>
      <c r="J30" s="5" t="inlineStr">
        <is>
          <t>Cumple</t>
        </is>
      </c>
      <c r="K30" s="5" t="inlineStr">
        <is>
          <t>0.1.0 **Validado en la Sesión 1** (20/10, informe `V-08`): A03 y E03.</t>
        </is>
      </c>
      <c r="L30" s="5" t="inlineStr">
        <is>
          <t>F1.1 #2 · Sesión 1: A03 y E03</t>
        </is>
      </c>
      <c r="M30" s="5" t="inlineStr">
        <is>
          <t>Verificado</t>
        </is>
      </c>
      <c r="N30" s="5" t="inlineStr">
        <is>
          <t>Cliente</t>
        </is>
      </c>
      <c r="O30" s="5" t="inlineStr"/>
      <c r="P30" s="6" t="n"/>
      <c r="Q30" s="5" t="inlineStr"/>
    </row>
    <row r="31" ht="33" customHeight="1">
      <c r="A31" s="4" t="inlineStr">
        <is>
          <t>D-06</t>
        </is>
      </c>
      <c r="B31" s="5" t="inlineStr">
        <is>
          <t>Diapasón</t>
        </is>
      </c>
      <c r="C31" s="5" t="inlineStr">
        <is>
          <t>Al pulsar una posición aparece el nombre de la nota en la nomenclatura activa.</t>
        </is>
      </c>
      <c r="D31" s="5" t="inlineStr">
        <is>
          <t>Alta</t>
        </is>
      </c>
      <c r="E31" s="5" t="inlineStr">
        <is>
          <t>Cliente · listado 14/09</t>
        </is>
      </c>
      <c r="F31" s="5" t="inlineStr">
        <is>
          <t>F1</t>
        </is>
      </c>
      <c r="G31" s="5" t="inlineStr">
        <is>
          <t>F1.1</t>
        </is>
      </c>
      <c r="H31" s="5" t="inlineStr">
        <is>
          <t>D</t>
        </is>
      </c>
      <c r="I31" s="5" t="inlineStr">
        <is>
          <t>Al pulsar aparece el nombre de la nota sobre la posición.</t>
        </is>
      </c>
      <c r="J31" s="5" t="inlineStr">
        <is>
          <t>Cumple</t>
        </is>
      </c>
      <c r="K31" s="5" t="inlineStr">
        <is>
          <t>0.1.0 **Validado en la Sesión 1** (20/10, informe `V-08`): E03.</t>
        </is>
      </c>
      <c r="L31" s="5" t="inlineStr">
        <is>
          <t>F1.1 #14 · Sesión 1: E03</t>
        </is>
      </c>
      <c r="M31" s="5" t="inlineStr">
        <is>
          <t>Verificado</t>
        </is>
      </c>
      <c r="N31" s="5" t="inlineStr">
        <is>
          <t>Cliente</t>
        </is>
      </c>
      <c r="O31" s="5" t="inlineStr"/>
      <c r="P31" s="6" t="n"/>
      <c r="Q31" s="5" t="inlineStr"/>
    </row>
    <row r="32" ht="33" customHeight="1">
      <c r="A32" s="4" t="inlineStr">
        <is>
          <t>D-07</t>
        </is>
      </c>
      <c r="B32" s="5" t="inlineStr">
        <is>
          <t>Diapasón</t>
        </is>
      </c>
      <c r="C32" s="5" t="inlineStr">
        <is>
          <t>Marcadores de posición en los trastes habituales (3, 5, 7, 9, 12, 15, 17, 19, 21, 24).</t>
        </is>
      </c>
      <c r="D32" s="5" t="inlineStr">
        <is>
          <t>Media</t>
        </is>
      </c>
      <c r="E32" s="5" t="inlineStr">
        <is>
          <t>Cliente · listado 14/09</t>
        </is>
      </c>
      <c r="F32" s="5" t="inlineStr">
        <is>
          <t>F1</t>
        </is>
      </c>
      <c r="G32" s="5" t="inlineStr">
        <is>
          <t>F1.1</t>
        </is>
      </c>
      <c r="H32" s="5" t="inlineStr">
        <is>
          <t>I</t>
        </is>
      </c>
      <c r="I32" s="5" t="inlineStr">
        <is>
          <t>Marcas simples en los trastes 3, 5, 7, 9, 15, 17, 19 y 21, y dobles en 12 y 24.</t>
        </is>
      </c>
      <c r="J32" s="5" t="inlineStr">
        <is>
          <t>Cumple</t>
        </is>
      </c>
      <c r="K32" s="5" t="inlineStr">
        <is>
          <t>0.1.0</t>
        </is>
      </c>
      <c r="L32" s="5" t="inlineStr">
        <is>
          <t>F1.1 #14</t>
        </is>
      </c>
      <c r="M32" s="5" t="inlineStr">
        <is>
          <t>Pendiente</t>
        </is>
      </c>
      <c r="N32" s="5" t="inlineStr">
        <is>
          <t>Auditor de requisitos</t>
        </is>
      </c>
      <c r="O32" s="5" t="inlineStr"/>
      <c r="P32" s="6" t="n"/>
      <c r="Q32" s="5" t="inlineStr"/>
    </row>
    <row r="33" ht="120" customHeight="1">
      <c r="A33" s="4" t="inlineStr">
        <is>
          <t>S-01</t>
        </is>
      </c>
      <c r="B33" s="5" t="inlineStr">
        <is>
          <t>Sonido</t>
        </is>
      </c>
      <c r="C33" s="5" t="inlineStr">
        <is>
          <t>El sonido corresponde a una guitarra real, no a un sintetizador genérico.</t>
        </is>
      </c>
      <c r="D33" s="5" t="inlineStr">
        <is>
          <t>Alta</t>
        </is>
      </c>
      <c r="E33" s="5" t="inlineStr">
        <is>
          <t>Cliente · listado 14/09</t>
        </is>
      </c>
      <c r="F33" s="5" t="inlineStr">
        <is>
          <t>F1 · F2</t>
        </is>
      </c>
      <c r="G33" s="5" t="inlineStr">
        <is>
          <t>F1.1 · F2.2 · F2.4</t>
        </is>
      </c>
      <c r="H33" s="5" t="inlineStr">
        <is>
          <t>D</t>
        </is>
      </c>
      <c r="I33" s="5" t="inlineStr">
        <is>
          <t>Al pulsar cualquier posición suena una muestra grabada, no el sintetizador Karplus-Strong.</t>
        </is>
      </c>
      <c r="J33" s="5" t="inlineStr">
        <is>
          <t>Cumple</t>
        </is>
      </c>
      <c r="K33" s="5" t="inlineStr">
        <is>
          <t>0.1.0</t>
        </is>
      </c>
      <c r="L33" s="5" t="inlineStr">
        <is>
          <t>F1.1 #14 y #15 · V-05: escucha del cliente en su iPhone (0.2.0, 19/10) · Sesión 1 (informe V-08): suena en el PC y el iPhone, pero en el iPhone se quedó mudo en C08 y D03; 0.3.3 con recuperación; pendiente de la Sesión 2</t>
        </is>
      </c>
      <c r="M33" s="5" t="inlineStr">
        <is>
          <t>Verificado parcialmente</t>
        </is>
      </c>
      <c r="N33" s="5" t="inlineStr">
        <is>
          <t>Cliente</t>
        </is>
      </c>
      <c r="O33" s="5" t="inlineStr">
        <is>
          <t>Reproductor propio con las grabaciones de samples/ desde la 0.2.0. Desde la 0.2.2 la guitarra clásica tiene también la grabación de La♯5: en afinación estándar ninguna nota se transporta más de 6 semitonos, y el traste 24 suena menos artificial. La acústica no tiene grabaciones por encima del Re5 y llega a 14: limitación conocida, aceptada por ti el 20/10; se comprueba de oído en la Sesión 1 (trastes 15 a 24 de la 1ª cuerda). Escuchada por ti en el iPhone con la 0.2.0 el 19/10 (V-05). La 0.1.3 corrigió el registro agudo de nylon, que sonaba medio tono alto. Sesión 1 (20/10, informe V-08): suena bien en el PC y en el iPhone, pero en el iPhone el sonido se quedó mudo dos veces (C08 y D03) y solo volvió cerrando la app; además seguía sonando con la pantalla bloqueada (C07). Es un fallo conocido de Safari en las apps de pantalla de inicio (WebKit 291892). Desde la 0.3.3, al ocultar la app se corta el sonido y se pausa el audio; al volver se reanuda, y si iOS no lo suelta se crea un audio nuevo; Ajustes enseña el estado del sonido y tiene «Reactivar sonido». Se valida cuando la Sesión 2 confirme que no vuelve a quedarse mudo.</t>
        </is>
      </c>
      <c r="P33" s="6" t="n"/>
      <c r="Q33" s="5" t="inlineStr"/>
    </row>
    <row r="34" ht="120" customHeight="1">
      <c r="A34" s="4" t="inlineStr">
        <is>
          <t>S-02</t>
        </is>
      </c>
      <c r="B34" s="5" t="inlineStr">
        <is>
          <t>Sonido</t>
        </is>
      </c>
      <c r="C34" s="5" t="inlineStr">
        <is>
          <t>El usuario elige entre guitarra clásica (nylon) y acústica (acero).</t>
        </is>
      </c>
      <c r="D34" s="5" t="inlineStr">
        <is>
          <t>Alta</t>
        </is>
      </c>
      <c r="E34" s="5" t="inlineStr">
        <is>
          <t>Cliente · listado 14/09</t>
        </is>
      </c>
      <c r="F34" s="5" t="inlineStr">
        <is>
          <t>F1</t>
        </is>
      </c>
      <c r="G34" s="5" t="inlineStr">
        <is>
          <t>F1.1</t>
        </is>
      </c>
      <c r="H34" s="5" t="inlineStr">
        <is>
          <t>D</t>
        </is>
      </c>
      <c r="I34" s="5" t="inlineStr">
        <is>
          <t>Elegir Acústica cambia el timbre audible y elegir Clásica lo devuelve, sin hacer sonar ninguna nota al elegir.</t>
        </is>
      </c>
      <c r="J34" s="5" t="inlineStr">
        <is>
          <t>Cumple</t>
        </is>
      </c>
      <c r="K34" s="5" t="inlineStr">
        <is>
          <t>0.1.0</t>
        </is>
      </c>
      <c r="L34" s="5" t="inlineStr">
        <is>
          <t>F1.1 #5 · Banco (node --test): cambiar de guitarra no suena · Sesión 1: A14</t>
        </is>
      </c>
      <c r="M34" s="5" t="inlineStr">
        <is>
          <t>Pendiente</t>
        </is>
      </c>
      <c r="N34" s="5" t="inlineStr">
        <is>
          <t>Cliente</t>
        </is>
      </c>
      <c r="O34" s="5" t="inlineStr">
        <is>
          <t>Cambiar de timbre descarga otro set de muestras, con aviso. Desde 0.1.2, dos cambios seguidos ya no muestran el mensaje de la carga descartada. Desde la 0.3.3 (Sesión 1, A14), elegir guitarra ya no hace sonar una nota de muestra. Sesión 1 (20/10, informe V-08): lo esencial cumplió en A14; el cambio de la 0.3.3 lo pediste tú y se confirma en la Sesión 2.</t>
        </is>
      </c>
      <c r="P34" s="6" t="n"/>
      <c r="Q34" s="5" t="inlineStr"/>
    </row>
    <row r="35" ht="33" customHeight="1">
      <c r="A35" s="4" t="inlineStr">
        <is>
          <t>S-03</t>
        </is>
      </c>
      <c r="B35" s="5" t="inlineStr">
        <is>
          <t>Sonido</t>
        </is>
      </c>
      <c r="C35" s="5" t="inlineStr">
        <is>
          <t>La selección de timbre está en el menú de configuración.</t>
        </is>
      </c>
      <c r="D35" s="5" t="inlineStr">
        <is>
          <t>Alta</t>
        </is>
      </c>
      <c r="E35" s="5" t="inlineStr">
        <is>
          <t>Cliente · listado 14/09</t>
        </is>
      </c>
      <c r="F35" s="5" t="inlineStr">
        <is>
          <t>F1</t>
        </is>
      </c>
      <c r="G35" s="5" t="inlineStr">
        <is>
          <t>F1.1</t>
        </is>
      </c>
      <c r="H35" s="5" t="inlineStr">
        <is>
          <t>I</t>
        </is>
      </c>
      <c r="I35" s="5" t="inlineStr">
        <is>
          <t>El selector de timbre está en Ajustes.</t>
        </is>
      </c>
      <c r="J35" s="5" t="inlineStr">
        <is>
          <t>Cumple</t>
        </is>
      </c>
      <c r="K35" s="5" t="inlineStr">
        <is>
          <t>0.1.0 **Validado en la Sesión 1** (20/10, informe `V-08`): A14.</t>
        </is>
      </c>
      <c r="L35" s="5" t="inlineStr">
        <is>
          <t>F1.1 #14 · Sesión 1: A14</t>
        </is>
      </c>
      <c r="M35" s="5" t="inlineStr">
        <is>
          <t>Verificado</t>
        </is>
      </c>
      <c r="N35" s="5" t="inlineStr">
        <is>
          <t>Auditor de requisitos</t>
        </is>
      </c>
      <c r="O35" s="5" t="inlineStr"/>
      <c r="P35" s="6" t="n"/>
      <c r="Q35" s="5" t="inlineStr"/>
    </row>
    <row r="36" ht="48" customHeight="1">
      <c r="A36" s="4" t="inlineStr">
        <is>
          <t>S-04</t>
        </is>
      </c>
      <c r="B36" s="5" t="inlineStr">
        <is>
          <t>Sonido</t>
        </is>
      </c>
      <c r="C36" s="5" t="inlineStr">
        <is>
          <t>Si los samples no cargan, la app sigue sonando por síntesis.</t>
        </is>
      </c>
      <c r="D36" s="5" t="inlineStr">
        <is>
          <t>Media</t>
        </is>
      </c>
      <c r="E36" s="5" t="inlineStr">
        <is>
          <t>Cliente · listado 14/09</t>
        </is>
      </c>
      <c r="F36" s="5" t="inlineStr">
        <is>
          <t>F1</t>
        </is>
      </c>
      <c r="G36" s="5" t="inlineStr">
        <is>
          <t>F1.1</t>
        </is>
      </c>
      <c r="H36" s="5" t="inlineStr">
        <is>
          <t>T</t>
        </is>
      </c>
      <c r="I36" s="5" t="inlineStr">
        <is>
          <t>Sin conexión, la app suena con el sintetizador y lo avisa en la pantalla de entrada.</t>
        </is>
      </c>
      <c r="J36" s="5" t="inlineStr">
        <is>
          <t>Cumple</t>
        </is>
      </c>
      <c r="K36" s="5" t="inlineStr">
        <is>
          <t>0.1.0</t>
        </is>
      </c>
      <c r="L36" s="5" t="inlineStr">
        <is>
          <t>—</t>
        </is>
      </c>
      <c r="M36" s="5" t="inlineStr">
        <is>
          <t>Pendiente</t>
        </is>
      </c>
      <c r="N36" s="5" t="inlineStr">
        <is>
          <t>Banco automático + auditor técnico</t>
        </is>
      </c>
      <c r="O36" s="5" t="inlineStr">
        <is>
          <t>Karplus-Strong con filtros que imitan la caja de resonancia. Desde 0.1.1 cada nota se calcula una sola vez y se reutiliza.</t>
        </is>
      </c>
      <c r="P36" s="6" t="n"/>
      <c r="Q36" s="5" t="inlineStr"/>
    </row>
    <row r="37" ht="33" customHeight="1">
      <c r="A37" s="4" t="inlineStr">
        <is>
          <t>S-05</t>
        </is>
      </c>
      <c r="B37" s="5" t="inlineStr">
        <is>
          <t>Sonido</t>
        </is>
      </c>
      <c r="C37" s="5" t="inlineStr">
        <is>
          <t>El primer sonido requiere una interacción explícita del usuario.</t>
        </is>
      </c>
      <c r="D37" s="5" t="inlineStr">
        <is>
          <t>Alta</t>
        </is>
      </c>
      <c r="E37" s="5" t="inlineStr">
        <is>
          <t>Cliente · listado 14/09</t>
        </is>
      </c>
      <c r="F37" s="5" t="inlineStr">
        <is>
          <t>F1</t>
        </is>
      </c>
      <c r="G37" s="5" t="inlineStr">
        <is>
          <t>F1.1</t>
        </is>
      </c>
      <c r="H37" s="5" t="inlineStr">
        <is>
          <t>D</t>
        </is>
      </c>
      <c r="I37" s="5" t="inlineStr">
        <is>
          <t>No suena nada antes de pulsar «Empezar».</t>
        </is>
      </c>
      <c r="J37" s="5" t="inlineStr">
        <is>
          <t>Cumple</t>
        </is>
      </c>
      <c r="K37" s="5" t="inlineStr">
        <is>
          <t>0.1.0</t>
        </is>
      </c>
      <c r="L37" s="5" t="inlineStr">
        <is>
          <t>F1.1 #14</t>
        </is>
      </c>
      <c r="M37" s="5" t="inlineStr">
        <is>
          <t>Pendiente</t>
        </is>
      </c>
      <c r="N37" s="5" t="inlineStr">
        <is>
          <t>Cliente</t>
        </is>
      </c>
      <c r="O37" s="5" t="inlineStr">
        <is>
          <t>Lo impone la política de reproducción automática de los navegadores.</t>
        </is>
      </c>
      <c r="P37" s="6" t="n"/>
      <c r="Q37" s="5" t="inlineStr"/>
    </row>
    <row r="38" ht="33" customHeight="1">
      <c r="A38" s="4" t="inlineStr">
        <is>
          <t>S-06</t>
        </is>
      </c>
      <c r="B38" s="5" t="inlineStr">
        <is>
          <t>Sonido</t>
        </is>
      </c>
      <c r="C38" s="5" t="inlineStr">
        <is>
          <t>El timbre persiste entre sesiones.</t>
        </is>
      </c>
      <c r="D38" s="5" t="inlineStr">
        <is>
          <t>Media</t>
        </is>
      </c>
      <c r="E38" s="5" t="inlineStr">
        <is>
          <t>Cliente · listado 14/09</t>
        </is>
      </c>
      <c r="F38" s="5" t="inlineStr">
        <is>
          <t>F1</t>
        </is>
      </c>
      <c r="G38" s="5" t="inlineStr">
        <is>
          <t>F1.1</t>
        </is>
      </c>
      <c r="H38" s="5" t="inlineStr">
        <is>
          <t>D</t>
        </is>
      </c>
      <c r="I38" s="5" t="inlineStr">
        <is>
          <t>Tras recargar se mantiene el timbre elegido.</t>
        </is>
      </c>
      <c r="J38" s="5" t="inlineStr">
        <is>
          <t>Cumple</t>
        </is>
      </c>
      <c r="K38" s="5" t="inlineStr">
        <is>
          <t>0.1.0</t>
        </is>
      </c>
      <c r="L38" s="5" t="inlineStr">
        <is>
          <t>F1.1 #13</t>
        </is>
      </c>
      <c r="M38" s="5" t="inlineStr">
        <is>
          <t>Pendiente</t>
        </is>
      </c>
      <c r="N38" s="5" t="inlineStr">
        <is>
          <t>Cliente</t>
        </is>
      </c>
      <c r="O38" s="5" t="inlineStr"/>
      <c r="P38" s="6" t="n"/>
      <c r="Q38" s="5" t="inlineStr"/>
    </row>
    <row r="39" ht="120" customHeight="1">
      <c r="A39" s="4" t="inlineStr">
        <is>
          <t>S-07</t>
        </is>
      </c>
      <c r="B39" s="5" t="inlineStr">
        <is>
          <t>Sonido</t>
        </is>
      </c>
      <c r="C39" s="5" t="inlineStr">
        <is>
          <t>Los samples de audio se alojan en el propio proyecto, con licencia verificada y documentada.</t>
        </is>
      </c>
      <c r="D39" s="5" t="inlineStr">
        <is>
          <t>Alta</t>
        </is>
      </c>
      <c r="E39" s="5" t="inlineStr">
        <is>
          <t>AR-01</t>
        </is>
      </c>
      <c r="F39" s="5" t="inlineStr">
        <is>
          <t>F2</t>
        </is>
      </c>
      <c r="G39" s="5" t="inlineStr">
        <is>
          <t>F2.1 · F2.3</t>
        </is>
      </c>
      <c r="H39" s="5" t="inlineStr">
        <is>
          <t>I</t>
        </is>
      </c>
      <c r="I39" s="5" t="inlineStr">
        <is>
          <t>Ninguna petición de audio sale del dominio propio, y CREDITOS.md documenta origen y licencia.</t>
        </is>
      </c>
      <c r="J39" s="5" t="inlineStr">
        <is>
          <t>Cumple</t>
        </is>
      </c>
      <c r="K39" s="5" t="inlineStr">
        <is>
          <t>0.2.3</t>
        </is>
      </c>
      <c r="L39" s="5" t="inlineStr">
        <is>
          <t>CREDITOS.md y samples/ (F2.1) · Banco (node --test): ninguna dirección externa (0.2.0) · licencia de los 161 sonidos del pack de nylon: CC BY, con filtros de control a 0 (20/10)</t>
        </is>
      </c>
      <c r="M39" s="5" t="inlineStr">
        <is>
          <t>Verificado</t>
        </is>
      </c>
      <c r="N39" s="5" t="inlineStr">
        <is>
          <t>Auditor de requisitos</t>
        </is>
      </c>
      <c r="O39" s="5" t="inlineStr">
        <is>
          <t>Opción A, decidida el 14/10. Hecho: licencias verificadas y los 16 archivos en samples/, con CREDITOS.md (F2.1); desde la 0.2.0 la app los usa y no descarga nada de otros servidores (F2.2). Desde la 0.2.1 van también dentro del archivo autónomo (F2.3). El 20/10 se completó la licencia del pack de nylon: en la búsqueda de Freesound, el pack tiene 161 sonidos y el filtro de licencia «Attribution» (CC BY) devuelve los 161; dos filtros de control («Attribution 4.0» y «Creative Commons 0») devuelven 0, lo que prueba que el filtro se aplica. Tres sonidos revisados uno a uno (183078, 183083 y 183089) son «Attribution 4.0». La búsqueda la hiciste tú en tu iPhone, porque está cerrada a los agentes. Validado por inspección: ninguna petición de audio sale del dominio propio (banco) y CREDITOS.md documenta origen y licencia de los 17 archivos.</t>
        </is>
      </c>
      <c r="P39" s="6" t="n"/>
      <c r="Q39" s="5" t="inlineStr"/>
    </row>
    <row r="40" ht="120" customHeight="1">
      <c r="A40" s="4" t="inlineStr">
        <is>
          <t>S-08</t>
        </is>
      </c>
      <c r="B40" s="5" t="inlineStr">
        <is>
          <t>Sonido</t>
        </is>
      </c>
      <c r="C40" s="5" t="inlineStr">
        <is>
          <t>Cada nota suena a menos de 5 cents de su frecuencia, una vez corregida la desviación medida de su grabación. Cada grabación que usa la app es la nota a la que está asignada y tiene su desviación medida.</t>
        </is>
      </c>
      <c r="D40" s="5" t="inlineStr">
        <is>
          <t>Alta</t>
        </is>
      </c>
      <c r="E40" s="5" t="inlineStr">
        <is>
          <t>Desarrollo · medición F2.1</t>
        </is>
      </c>
      <c r="F40" s="5" t="inlineStr">
        <is>
          <t>F2</t>
        </is>
      </c>
      <c r="G40" s="5" t="inlineStr">
        <is>
          <t>F2.1 · F2.2 · F2.4</t>
        </is>
      </c>
      <c r="H40" s="5" t="inlineStr">
        <is>
          <t>T</t>
        </is>
      </c>
      <c r="I40" s="5" t="inlineStr">
        <is>
          <t>Cada nota posible, en los dos timbres, suena a ±5 cents de su frecuencia una vez aplicada la corrección de su grabación; cada grabación es la nota asignada (a menos de 50 cents) y su desviación coincide con samples/afinacion.json.</t>
        </is>
      </c>
      <c r="J40" s="5" t="inlineStr">
        <is>
          <t>Cumple</t>
        </is>
      </c>
      <c r="K40" s="5" t="inlineStr">
        <is>
          <t>0.1.3</t>
        </is>
      </c>
      <c r="L40" s="5" t="inlineStr">
        <is>
          <t>samples/afinacion.json · Banco (node --test): grabaciones y todas las notas (±0,5 cents) · V-02, V-03 y V-04: notas grabadas en el navegador, a menos de 1 cent</t>
        </is>
      </c>
      <c r="M40" s="5" t="inlineStr">
        <is>
          <t>Verificado</t>
        </is>
      </c>
      <c r="N40" s="5" t="inlineStr">
        <is>
          <t>Banco automático + auditor técnico</t>
        </is>
      </c>
      <c r="O40" s="5" t="inlineStr">
        <is>
          <t>Reformulado el 19/10, con tu aprobación: antes exigía ±5 cents a la grabación sin corregir; desde la 0.2.0 la app corrige cada grabación con su medida, así que lo que importa y se comprueba es la nota que suena. Origen: el D5.mp3 de nylon sonaba en Re♯5. Validado: el banco comprueba todas las notas posibles (±0,5 cents) y la grabación en el navegador lo confirma (V-02, V-03, V-04).</t>
        </is>
      </c>
      <c r="P40" s="6" t="n"/>
      <c r="Q40" s="5" t="inlineStr"/>
    </row>
    <row r="41" ht="63" customHeight="1">
      <c r="A41" s="4" t="inlineStr">
        <is>
          <t>S-09</t>
        </is>
      </c>
      <c r="B41" s="5" t="inlineStr">
        <is>
          <t>Sonido</t>
        </is>
      </c>
      <c r="C41" s="5" t="inlineStr">
        <is>
          <t>El timbre se parece más al de una guitarra real: grabaciones de más calidad o más notas grabadas por cuerda.</t>
        </is>
      </c>
      <c r="D41" s="5" t="inlineStr">
        <is>
          <t>Baja</t>
        </is>
      </c>
      <c r="E41" s="5" t="inlineStr">
        <is>
          <t>Cliente · listado 14/09</t>
        </is>
      </c>
      <c r="F41" s="5" t="inlineStr">
        <is>
          <t>Posterior</t>
        </is>
      </c>
      <c r="G41" s="5" t="inlineStr">
        <is>
          <t>Posterior</t>
        </is>
      </c>
      <c r="H41" s="5" t="inlineStr">
        <is>
          <t>N/A</t>
        </is>
      </c>
      <c r="I41" s="5" t="inlineStr">
        <is>
          <t>Fuera del alcance actual.</t>
        </is>
      </c>
      <c r="J41" s="5" t="inlineStr">
        <is>
          <t>No aplica</t>
        </is>
      </c>
      <c r="K41" s="5" t="inlineStr">
        <is>
          <t>—</t>
        </is>
      </c>
      <c r="L41" s="5" t="inlineStr">
        <is>
          <t>—</t>
        </is>
      </c>
      <c r="M41" s="5" t="inlineStr">
        <is>
          <t>No aplica</t>
        </is>
      </c>
      <c r="N41" s="5" t="inlineStr">
        <is>
          <t>—</t>
        </is>
      </c>
      <c r="O41" s="5" t="inlineStr">
        <is>
          <t>Tu comentario de la Sesión 1 (E03 y E04): suena «diferente» a tu guitarra. Exige buscar otro banco de grabaciones con licencia libre (S-07), medirlo (S-08) y que lo escuches.</t>
        </is>
      </c>
      <c r="P41" s="6" t="n"/>
      <c r="Q41" s="5" t="inlineStr"/>
    </row>
    <row r="42" ht="93" customHeight="1">
      <c r="A42" s="4" t="inlineStr">
        <is>
          <t>P-01</t>
        </is>
      </c>
      <c r="B42" s="5" t="inlineStr">
        <is>
          <t>Pentagrama</t>
        </is>
      </c>
      <c r="C42" s="5" t="inlineStr">
        <is>
          <t>Al pulsar una nota en el mástil, se representa en el pentagrama.</t>
        </is>
      </c>
      <c r="D42" s="5" t="inlineStr">
        <is>
          <t>Alta</t>
        </is>
      </c>
      <c r="E42" s="5" t="inlineStr">
        <is>
          <t>Cliente · listado 14/09</t>
        </is>
      </c>
      <c r="F42" s="5" t="inlineStr">
        <is>
          <t>F1</t>
        </is>
      </c>
      <c r="G42" s="5" t="inlineStr">
        <is>
          <t>F1.1</t>
        </is>
      </c>
      <c r="H42" s="5" t="inlineStr">
        <is>
          <t>A</t>
        </is>
      </c>
      <c r="I42" s="5" t="inlineStr">
        <is>
          <t>Toda posición del mástil, en cualquier afinación permitida, se dibuja dentro del pentagrama.</t>
        </is>
      </c>
      <c r="J42" s="5" t="inlineStr">
        <is>
          <t>Cumple</t>
        </is>
      </c>
      <c r="K42" s="5" t="inlineStr">
        <is>
          <t>0.1.0</t>
        </is>
      </c>
      <c r="L42" s="5" t="inlineStr">
        <is>
          <t>Análisis 15/09: ninguna nota fuera en todo el rango · F1.1 #3 y #4 · Sesión 1: A05</t>
        </is>
      </c>
      <c r="M42" s="5" t="inlineStr">
        <is>
          <t>Verificado</t>
        </is>
      </c>
      <c r="N42" s="5" t="inlineStr">
        <is>
          <t>Auditor técnico</t>
        </is>
      </c>
      <c r="O42" s="5" t="inlineStr">
        <is>
          <t>Clave de sol octavada. Desde 0.1.1 las notas muy agudas o graves se dibujan transportadas con 8va, 15ma u 8vb, y la clave es un trazado propio que no depende de las fuentes del sistema. Validado en la Sesión 1 (20/10, informe V-08): A05.</t>
        </is>
      </c>
      <c r="P42" s="6" t="n"/>
      <c r="Q42" s="5" t="inlineStr"/>
    </row>
    <row r="43" ht="33" customHeight="1">
      <c r="A43" s="4" t="inlineStr">
        <is>
          <t>P-02</t>
        </is>
      </c>
      <c r="B43" s="5" t="inlineStr">
        <is>
          <t>Pentagrama</t>
        </is>
      </c>
      <c r="C43" s="5" t="inlineStr">
        <is>
          <t>El pentagrama se puede mostrar u ocultar.</t>
        </is>
      </c>
      <c r="D43" s="5" t="inlineStr">
        <is>
          <t>Alta</t>
        </is>
      </c>
      <c r="E43" s="5" t="inlineStr">
        <is>
          <t>Cliente · listado 14/09</t>
        </is>
      </c>
      <c r="F43" s="5" t="inlineStr">
        <is>
          <t>F1</t>
        </is>
      </c>
      <c r="G43" s="5" t="inlineStr">
        <is>
          <t>F1.1</t>
        </is>
      </c>
      <c r="H43" s="5" t="inlineStr">
        <is>
          <t>D</t>
        </is>
      </c>
      <c r="I43" s="5" t="inlineStr">
        <is>
          <t>El pentagrama se oculta y se muestra desde el chip y desde Ajustes.</t>
        </is>
      </c>
      <c r="J43" s="5" t="inlineStr">
        <is>
          <t>Cumple</t>
        </is>
      </c>
      <c r="K43" s="5" t="inlineStr">
        <is>
          <t>0.1.0</t>
        </is>
      </c>
      <c r="L43" s="5" t="inlineStr">
        <is>
          <t>F1.1 #14</t>
        </is>
      </c>
      <c r="M43" s="5" t="inlineStr">
        <is>
          <t>Pendiente</t>
        </is>
      </c>
      <c r="N43" s="5" t="inlineStr">
        <is>
          <t>Cliente</t>
        </is>
      </c>
      <c r="O43" s="5" t="inlineStr">
        <is>
          <t>En configuración y en acceso rápido.</t>
        </is>
      </c>
      <c r="P43" s="6" t="n"/>
      <c r="Q43" s="5" t="inlineStr"/>
    </row>
    <row r="44" ht="63" customHeight="1">
      <c r="A44" s="4" t="inlineStr">
        <is>
          <t>P-03</t>
        </is>
      </c>
      <c r="B44" s="5" t="inlineStr">
        <is>
          <t>Pentagrama</t>
        </is>
      </c>
      <c r="C44" s="5" t="inlineStr">
        <is>
          <t>El pentagrama está disponible en todos los modos de aprendizaje.</t>
        </is>
      </c>
      <c r="D44" s="5" t="inlineStr">
        <is>
          <t>Media</t>
        </is>
      </c>
      <c r="E44" s="5" t="inlineStr">
        <is>
          <t>Cliente · listado 14/09</t>
        </is>
      </c>
      <c r="F44" s="5" t="inlineStr">
        <is>
          <t>F5</t>
        </is>
      </c>
      <c r="G44" s="5" t="inlineStr">
        <is>
          <t>F5.3</t>
        </is>
      </c>
      <c r="H44" s="5" t="inlineStr">
        <is>
          <t>D</t>
        </is>
      </c>
      <c r="I44" s="5" t="inlineStr">
        <is>
          <t>El pentagrama funciona en Libre, Adivinar y Escalas.</t>
        </is>
      </c>
      <c r="J44" s="5" t="inlineStr">
        <is>
          <t>Cumple</t>
        </is>
      </c>
      <c r="K44" s="5" t="inlineStr">
        <is>
          <t>0.5.0</t>
        </is>
      </c>
      <c r="L44" s="5" t="inlineStr">
        <is>
          <t>Banco (node --test): la escala escrita en el pentagrama (8 notas en Mostrar; las encontradas en Práctica)</t>
        </is>
      </c>
      <c r="M44" s="5" t="inlineStr">
        <is>
          <t>Pendiente</t>
        </is>
      </c>
      <c r="N44" s="5" t="inlineStr">
        <is>
          <t>Cliente</t>
        </is>
      </c>
      <c r="O44" s="5" t="inlineStr">
        <is>
          <t>Libre y Adivinar sí. Escalas, en F5. Desde la 0.5.0, en Escalas el pentagrama escribe la escala entera, con sus alteraciones (♯ y ♭ según la tonalidad).</t>
        </is>
      </c>
      <c r="P44" s="6" t="n"/>
      <c r="Q44" s="5" t="inlineStr">
        <is>
          <t>Modificado</t>
        </is>
      </c>
    </row>
    <row r="45" ht="33" customHeight="1">
      <c r="A45" s="4" t="inlineStr">
        <is>
          <t>P-04</t>
        </is>
      </c>
      <c r="B45" s="5" t="inlineStr">
        <is>
          <t>Pentagrama</t>
        </is>
      </c>
      <c r="C45" s="5" t="inlineStr">
        <is>
          <t>En el afinador, la afinación seleccionada se muestra como seis notas en un pentagrama.</t>
        </is>
      </c>
      <c r="D45" s="5" t="inlineStr">
        <is>
          <t>Media</t>
        </is>
      </c>
      <c r="E45" s="5" t="inlineStr">
        <is>
          <t>Cliente · listado 14/09</t>
        </is>
      </c>
      <c r="F45" s="5" t="inlineStr">
        <is>
          <t>F1</t>
        </is>
      </c>
      <c r="G45" s="5" t="inlineStr">
        <is>
          <t>F1.1</t>
        </is>
      </c>
      <c r="H45" s="5" t="inlineStr">
        <is>
          <t>D</t>
        </is>
      </c>
      <c r="I45" s="5" t="inlineStr">
        <is>
          <t>El afinador muestra en un pentagrama las seis notas de la afinación activa.</t>
        </is>
      </c>
      <c r="J45" s="5" t="inlineStr">
        <is>
          <t>Cumple</t>
        </is>
      </c>
      <c r="K45" s="5" t="inlineStr">
        <is>
          <t>0.1.0 **Validado en la Sesión 1** (20/10, informe `V-08`): A13.</t>
        </is>
      </c>
      <c r="L45" s="5" t="inlineStr">
        <is>
          <t>F1.1 #14 · Sesión 1: A13</t>
        </is>
      </c>
      <c r="M45" s="5" t="inlineStr">
        <is>
          <t>Verificado</t>
        </is>
      </c>
      <c r="N45" s="5" t="inlineStr">
        <is>
          <t>Cliente</t>
        </is>
      </c>
      <c r="O45" s="5" t="inlineStr"/>
      <c r="P45" s="6" t="n"/>
      <c r="Q45" s="5" t="inlineStr"/>
    </row>
    <row r="46" ht="33" customHeight="1">
      <c r="A46" s="4" t="inlineStr">
        <is>
          <t>L-01</t>
        </is>
      </c>
      <c r="B46" s="5" t="inlineStr">
        <is>
          <t>Modo Libre</t>
        </is>
      </c>
      <c r="C46" s="5" t="inlineStr">
        <is>
          <t>El modo por defecto al abrir la app es el diapasón libre.</t>
        </is>
      </c>
      <c r="D46" s="5" t="inlineStr">
        <is>
          <t>Alta</t>
        </is>
      </c>
      <c r="E46" s="5" t="inlineStr">
        <is>
          <t>Cliente · listado 14/09</t>
        </is>
      </c>
      <c r="F46" s="5" t="inlineStr">
        <is>
          <t>F1</t>
        </is>
      </c>
      <c r="G46" s="5" t="inlineStr">
        <is>
          <t>F1.1</t>
        </is>
      </c>
      <c r="H46" s="5" t="inlineStr">
        <is>
          <t>D</t>
        </is>
      </c>
      <c r="I46" s="5" t="inlineStr">
        <is>
          <t>Al abrir la app se muestra el modo Libre.</t>
        </is>
      </c>
      <c r="J46" s="5" t="inlineStr">
        <is>
          <t>Cumple</t>
        </is>
      </c>
      <c r="K46" s="5" t="inlineStr">
        <is>
          <t>0.1.0 **Validado en la Sesión 1** (20/10, informe `V-08`): A01.</t>
        </is>
      </c>
      <c r="L46" s="5" t="inlineStr">
        <is>
          <t>F1.1 #14 · Sesión 1: A01</t>
        </is>
      </c>
      <c r="M46" s="5" t="inlineStr">
        <is>
          <t>Verificado</t>
        </is>
      </c>
      <c r="N46" s="5" t="inlineStr">
        <is>
          <t>Cliente</t>
        </is>
      </c>
      <c r="O46" s="5" t="inlineStr"/>
      <c r="P46" s="6" t="n"/>
      <c r="Q46" s="5" t="inlineStr"/>
    </row>
    <row r="47" ht="63" customHeight="1">
      <c r="A47" s="4" t="inlineStr">
        <is>
          <t>L-02</t>
        </is>
      </c>
      <c r="B47" s="5" t="inlineStr">
        <is>
          <t>Modo Libre</t>
        </is>
      </c>
      <c r="C47" s="5" t="inlineStr">
        <is>
          <t>El usuario decide si ve el nombre de todas las notas del mástil o solo el de la que pulsa.</t>
        </is>
      </c>
      <c r="D47" s="5" t="inlineStr">
        <is>
          <t>Alta</t>
        </is>
      </c>
      <c r="E47" s="5" t="inlineStr">
        <is>
          <t>Cliente · listado 14/09</t>
        </is>
      </c>
      <c r="F47" s="5" t="inlineStr">
        <is>
          <t>F1</t>
        </is>
      </c>
      <c r="G47" s="5" t="inlineStr">
        <is>
          <t>F1.1</t>
        </is>
      </c>
      <c r="H47" s="5" t="inlineStr">
        <is>
          <t>D</t>
        </is>
      </c>
      <c r="I47" s="5" t="inlineStr">
        <is>
          <t>Con «Ver todas las notas» se ven todos los nombres; sin él, solo el de la nota pulsada.</t>
        </is>
      </c>
      <c r="J47" s="5" t="inlineStr">
        <is>
          <t>Cumple</t>
        </is>
      </c>
      <c r="K47" s="5" t="inlineStr">
        <is>
          <t>0.1.0</t>
        </is>
      </c>
      <c r="L47" s="5" t="inlineStr">
        <is>
          <t>Banco (node --test) · F1.1 #10 · Sesión 1: A10</t>
        </is>
      </c>
      <c r="M47" s="5" t="inlineStr">
        <is>
          <t>Verificado</t>
        </is>
      </c>
      <c r="N47" s="5" t="inlineStr">
        <is>
          <t>Cliente</t>
        </is>
      </c>
      <c r="O47" s="5" t="inlineStr">
        <is>
          <t>Por defecto solo la pulsada, para no convertir el mástil en una chuleta permanente. En Adivinar no se aplica (J-12). Validado en la Sesión 1 (20/10, informe V-08): A10.</t>
        </is>
      </c>
      <c r="P47" s="6" t="n"/>
      <c r="Q47" s="5" t="inlineStr"/>
    </row>
    <row r="48" ht="93" customHeight="1">
      <c r="A48" s="4" t="inlineStr">
        <is>
          <t>L-03</t>
        </is>
      </c>
      <c r="B48" s="5" t="inlineStr">
        <is>
          <t>Modo Libre</t>
        </is>
      </c>
      <c r="C48" s="5" t="inlineStr">
        <is>
          <t>Al pulsar una nota se señalan discretamente las demás posiciones que producen exactamente la misma nota (mismo sonido, no misma clase de nota).</t>
        </is>
      </c>
      <c r="D48" s="5" t="inlineStr">
        <is>
          <t>Media</t>
        </is>
      </c>
      <c r="E48" s="5" t="inlineStr">
        <is>
          <t>Cliente · listado 14/09</t>
        </is>
      </c>
      <c r="F48" s="5" t="inlineStr">
        <is>
          <t>F1</t>
        </is>
      </c>
      <c r="G48" s="5" t="inlineStr">
        <is>
          <t>F1.1</t>
        </is>
      </c>
      <c r="H48" s="5" t="inlineStr">
        <is>
          <t>D</t>
        </is>
      </c>
      <c r="I48" s="5" t="inlineStr">
        <is>
          <t>Al pulsar una nota se señalan las demás posiciones con el mismo sonido exacto y ninguna de otra octava.</t>
        </is>
      </c>
      <c r="J48" s="5" t="inlineStr">
        <is>
          <t>Cumple</t>
        </is>
      </c>
      <c r="K48" s="5" t="inlineStr">
        <is>
          <t>0.1.0</t>
        </is>
      </c>
      <c r="L48" s="5" t="inlineStr">
        <is>
          <t>F1.1 #14 · Sesión 1: E03</t>
        </is>
      </c>
      <c r="M48" s="5" t="inlineStr">
        <is>
          <t>Verificado</t>
        </is>
      </c>
      <c r="N48" s="5" t="inlineStr">
        <is>
          <t>Cliente</t>
        </is>
      </c>
      <c r="O48" s="5" t="inlineStr">
        <is>
          <t>Desde la 0.3.1 se señalan con contorno, sin relleno, y con «Ver todas las notas» llevan además un anillo claro por fuera (AR-06). Señal deliberadamente más tenue que la nota pulsada. Validado en la Sesión 1 (20/10, informe V-08): E03.</t>
        </is>
      </c>
      <c r="P48" s="6" t="n"/>
      <c r="Q48" s="5" t="inlineStr"/>
    </row>
    <row r="49" ht="120" customHeight="1">
      <c r="A49" s="4" t="inlineStr">
        <is>
          <t>J-01</t>
        </is>
      </c>
      <c r="B49" s="5" t="inlineStr">
        <is>
          <t>Modo Adivinar</t>
        </is>
      </c>
      <c r="C49" s="5" t="inlineStr">
        <is>
          <t>Suena una nota aleatoria y el usuario busca su posición en el mástil.</t>
        </is>
      </c>
      <c r="D49" s="5" t="inlineStr">
        <is>
          <t>Alta</t>
        </is>
      </c>
      <c r="E49" s="5" t="inlineStr">
        <is>
          <t>Cliente · listado 14/09</t>
        </is>
      </c>
      <c r="F49" s="5" t="inlineStr">
        <is>
          <t>F1</t>
        </is>
      </c>
      <c r="G49" s="5" t="inlineStr">
        <is>
          <t>F1.1</t>
        </is>
      </c>
      <c r="H49" s="5" t="inlineStr">
        <is>
          <t>D</t>
        </is>
      </c>
      <c r="I49" s="5" t="inlineStr">
        <is>
          <t>En Adivinar nada suena hasta pulsar ▶ (resaltado); antes de ▶ el mástil suena pero no puntúa; después cada reto suena solo y ▶ lo repite. La lectura grande y el pentagrama muestran la nota que tocas (0.4.1); la buscada, solo con la pista de nombre o al responder.</t>
        </is>
      </c>
      <c r="J49" s="5" t="inlineStr">
        <is>
          <t>Cumple</t>
        </is>
      </c>
      <c r="K49" s="5" t="inlineStr">
        <is>
          <t>0.1.0</t>
        </is>
      </c>
      <c r="L49" s="5" t="inlineStr">
        <is>
          <t>F1.1 #14 · Banco (node --test): ▶, y lectura de la nota tocada con las pistas aparte · Sesión 1: C07 y E04</t>
        </is>
      </c>
      <c r="M49" s="5" t="inlineStr">
        <is>
          <t>Pendiente</t>
        </is>
      </c>
      <c r="N49" s="5" t="inlineStr">
        <is>
          <t>Cliente</t>
        </is>
      </c>
      <c r="O49" s="5" t="inlineStr">
        <is>
          <t>Con botón para repetir el sonido. Desde 0.1.1 los retos se limitan a los 12 primeros trastes por defecto, y desplazar el mástil ya no cuenta como pulsación. Desde la 0.3.3 (Sesión 1, E06), al entrar en Adivinar no suena nada hasta pulsar ▶, que aparece resaltado; antes de ▶ se puede tocar el mástil sin que puntúe. Después cada reto suena solo, y ▶ lo repite. Desde la 0.4.1 (tu comentario del 21/10), la lectura grande y el pentagrama vuelven a mostrar la nota que tocas; la buscada solo se ve con la pista de nombre, que sale aparte y grande en su botón (J-06), o al responder. Sesión 1 (20/10, informe V-08): lo esencial cumplió en C07 y E04; el cambio de la 0.3.3 lo pediste tú y se confirma en la Sesión 2.</t>
        </is>
      </c>
      <c r="P49" s="6" t="n"/>
      <c r="Q49" s="5" t="inlineStr"/>
    </row>
    <row r="50" ht="33" customHeight="1">
      <c r="A50" s="4" t="inlineStr">
        <is>
          <t>J-02</t>
        </is>
      </c>
      <c r="B50" s="5" t="inlineStr">
        <is>
          <t>Modo Adivinar</t>
        </is>
      </c>
      <c r="C50" s="5" t="inlineStr">
        <is>
          <t>Se acepta como acierto cualquier posición que produzca esa nota exacta.</t>
        </is>
      </c>
      <c r="D50" s="5" t="inlineStr">
        <is>
          <t>Alta</t>
        </is>
      </c>
      <c r="E50" s="5" t="inlineStr">
        <is>
          <t>Cliente · listado 14/09</t>
        </is>
      </c>
      <c r="F50" s="5" t="inlineStr">
        <is>
          <t>F1</t>
        </is>
      </c>
      <c r="G50" s="5" t="inlineStr">
        <is>
          <t>F1.1</t>
        </is>
      </c>
      <c r="H50" s="5" t="inlineStr">
        <is>
          <t>T</t>
        </is>
      </c>
      <c r="I50" s="5" t="inlineStr">
        <is>
          <t>Cualquier posición con el mismo sonido cuenta como acierto.</t>
        </is>
      </c>
      <c r="J50" s="5" t="inlineStr">
        <is>
          <t>Cumple</t>
        </is>
      </c>
      <c r="K50" s="5" t="inlineStr">
        <is>
          <t>0.1.0 **Validado en la Sesión 1** (20/10, informe `V-08`): E04.</t>
        </is>
      </c>
      <c r="L50" s="5" t="inlineStr">
        <is>
          <t>Banco (node --test): acierto · Sesión 1: E04</t>
        </is>
      </c>
      <c r="M50" s="5" t="inlineStr">
        <is>
          <t>Verificado</t>
        </is>
      </c>
      <c r="N50" s="5" t="inlineStr">
        <is>
          <t>Banco automático + auditor técnico</t>
        </is>
      </c>
      <c r="O50" s="5" t="inlineStr"/>
      <c r="P50" s="6" t="n"/>
      <c r="Q50" s="5" t="inlineStr"/>
    </row>
    <row r="51" ht="33" customHeight="1">
      <c r="A51" s="4" t="inlineStr">
        <is>
          <t>J-03</t>
        </is>
      </c>
      <c r="B51" s="5" t="inlineStr">
        <is>
          <t>Modo Adivinar</t>
        </is>
      </c>
      <c r="C51" s="5" t="inlineStr">
        <is>
          <t>Tras acertar se señalan las demás posiciones válidas.</t>
        </is>
      </c>
      <c r="D51" s="5" t="inlineStr">
        <is>
          <t>Media</t>
        </is>
      </c>
      <c r="E51" s="5" t="inlineStr">
        <is>
          <t>Cliente · listado 14/09</t>
        </is>
      </c>
      <c r="F51" s="5" t="inlineStr">
        <is>
          <t>F1</t>
        </is>
      </c>
      <c r="G51" s="5" t="inlineStr">
        <is>
          <t>F1.1</t>
        </is>
      </c>
      <c r="H51" s="5" t="inlineStr">
        <is>
          <t>D</t>
        </is>
      </c>
      <c r="I51" s="5" t="inlineStr">
        <is>
          <t>Tras acertar se señalan las demás posiciones válidas.</t>
        </is>
      </c>
      <c r="J51" s="5" t="inlineStr">
        <is>
          <t>Cumple</t>
        </is>
      </c>
      <c r="K51" s="5" t="inlineStr">
        <is>
          <t>0.1.0</t>
        </is>
      </c>
      <c r="L51" s="5" t="inlineStr">
        <is>
          <t>F1.1 #14 · Sesión 1: E04</t>
        </is>
      </c>
      <c r="M51" s="5" t="inlineStr">
        <is>
          <t>Verificado</t>
        </is>
      </c>
      <c r="N51" s="5" t="inlineStr">
        <is>
          <t>Cliente</t>
        </is>
      </c>
      <c r="O51" s="5" t="inlineStr">
        <is>
          <t>Reutiliza la lógica de L-03. Validado en la Sesión 1 (20/10, informe V-08): E04.</t>
        </is>
      </c>
      <c r="P51" s="6" t="n"/>
      <c r="Q51" s="5" t="inlineStr"/>
    </row>
    <row r="52" ht="33" customHeight="1">
      <c r="A52" s="4" t="inlineStr">
        <is>
          <t>J-04</t>
        </is>
      </c>
      <c r="B52" s="5" t="inlineStr">
        <is>
          <t>Modo Adivinar</t>
        </is>
      </c>
      <c r="C52" s="5" t="inlineStr">
        <is>
          <t>Pista opcional: nombre de la nota que suena.</t>
        </is>
      </c>
      <c r="D52" s="5" t="inlineStr">
        <is>
          <t>Alta</t>
        </is>
      </c>
      <c r="E52" s="5" t="inlineStr">
        <is>
          <t>Cliente · listado 14/09</t>
        </is>
      </c>
      <c r="F52" s="5" t="inlineStr">
        <is>
          <t>F1</t>
        </is>
      </c>
      <c r="G52" s="5" t="inlineStr">
        <is>
          <t>F1.1</t>
        </is>
      </c>
      <c r="H52" s="5" t="inlineStr">
        <is>
          <t>D</t>
        </is>
      </c>
      <c r="I52" s="5" t="inlineStr">
        <is>
          <t>La pista «Nombre» muestra el nombre y la octava de la nota que suena.</t>
        </is>
      </c>
      <c r="J52" s="5" t="inlineStr">
        <is>
          <t>Cumple</t>
        </is>
      </c>
      <c r="K52" s="5" t="inlineStr">
        <is>
          <t>0.1.0 **Validado en la Sesión 1** (20/10, informe `V-08`): E04.</t>
        </is>
      </c>
      <c r="L52" s="5" t="inlineStr">
        <is>
          <t>F1.1 #14 · Sesión 1: E04</t>
        </is>
      </c>
      <c r="M52" s="5" t="inlineStr">
        <is>
          <t>Verificado</t>
        </is>
      </c>
      <c r="N52" s="5" t="inlineStr">
        <is>
          <t>Cliente</t>
        </is>
      </c>
      <c r="O52" s="5" t="inlineStr"/>
      <c r="P52" s="6" t="n"/>
      <c r="Q52" s="5" t="inlineStr"/>
    </row>
    <row r="53" ht="33" customHeight="1">
      <c r="A53" s="4" t="inlineStr">
        <is>
          <t>J-05</t>
        </is>
      </c>
      <c r="B53" s="5" t="inlineStr">
        <is>
          <t>Modo Adivinar</t>
        </is>
      </c>
      <c r="C53" s="5" t="inlineStr">
        <is>
          <t>Pista opcional: cuerda o cuerdas donde puede encontrarse.</t>
        </is>
      </c>
      <c r="D53" s="5" t="inlineStr">
        <is>
          <t>Alta</t>
        </is>
      </c>
      <c r="E53" s="5" t="inlineStr">
        <is>
          <t>Cliente · listado 14/09</t>
        </is>
      </c>
      <c r="F53" s="5" t="inlineStr">
        <is>
          <t>F1</t>
        </is>
      </c>
      <c r="G53" s="5" t="inlineStr">
        <is>
          <t>F1.1</t>
        </is>
      </c>
      <c r="H53" s="5" t="inlineStr">
        <is>
          <t>D</t>
        </is>
      </c>
      <c r="I53" s="5" t="inlineStr">
        <is>
          <t>La pista «Cuerda» lista las cuerdas donde puede estar la nota.</t>
        </is>
      </c>
      <c r="J53" s="5" t="inlineStr">
        <is>
          <t>Cumple</t>
        </is>
      </c>
      <c r="K53" s="5" t="inlineStr">
        <is>
          <t>0.1.0 **Validado en la Sesión 1** (20/10, informe `V-08`): E04.</t>
        </is>
      </c>
      <c r="L53" s="5" t="inlineStr">
        <is>
          <t>F1.1 #14 · Sesión 1: E04</t>
        </is>
      </c>
      <c r="M53" s="5" t="inlineStr">
        <is>
          <t>Verificado</t>
        </is>
      </c>
      <c r="N53" s="5" t="inlineStr">
        <is>
          <t>Cliente</t>
        </is>
      </c>
      <c r="O53" s="5" t="inlineStr"/>
      <c r="P53" s="6" t="n"/>
      <c r="Q53" s="5" t="inlineStr"/>
    </row>
    <row r="54" ht="120" customHeight="1">
      <c r="A54" s="4" t="inlineStr">
        <is>
          <t>J-06</t>
        </is>
      </c>
      <c r="B54" s="5" t="inlineStr">
        <is>
          <t>Modo Adivinar</t>
        </is>
      </c>
      <c r="C54" s="5" t="inlineStr">
        <is>
          <t>Las pistas se activan desde la propia interfaz, sin abrir el menú.</t>
        </is>
      </c>
      <c r="D54" s="5" t="inlineStr">
        <is>
          <t>Alta</t>
        </is>
      </c>
      <c r="E54" s="5" t="inlineStr">
        <is>
          <t>Cliente · listado 14/09</t>
        </is>
      </c>
      <c r="F54" s="5" t="inlineStr">
        <is>
          <t>F1</t>
        </is>
      </c>
      <c r="G54" s="5" t="inlineStr">
        <is>
          <t>F1.1</t>
        </is>
      </c>
      <c r="H54" s="5" t="inlineStr">
        <is>
          <t>D</t>
        </is>
      </c>
      <c r="I54" s="5" t="inlineStr">
        <is>
          <t>Las dos pistas se activan con chips visibles en Adivinar, sin abrir Ajustes; encendidas, enseñan su respuesta en grande (0.4.1).</t>
        </is>
      </c>
      <c r="J54" s="5" t="inlineStr">
        <is>
          <t>Cumple</t>
        </is>
      </c>
      <c r="K54" s="5" t="inlineStr">
        <is>
          <t>0.1.0</t>
        </is>
      </c>
      <c r="L54" s="5" t="inlineStr">
        <is>
          <t>F1.1 #14 · Banco (node --test): pistas grandes, también antes de ▶ · Sesión 1: E04</t>
        </is>
      </c>
      <c r="M54" s="5" t="inlineStr">
        <is>
          <t>Verificado</t>
        </is>
      </c>
      <c r="N54" s="5" t="inlineStr">
        <is>
          <t>Cliente</t>
        </is>
      </c>
      <c r="O54" s="5" t="inlineStr">
        <is>
          <t>Con las dos pistas activas equivale a «busca esta nota en esta cuerda»; sin ninguna, a «adivina de oído». Validado en la Sesión 1 (20/10, informe V-08): E04. Desde la 0.4.1 (tu comentario del 21/10): encendida, cada pista enseña su respuesta dentro de su botón, en grande y con borde discontinuo de «pista» («NOTA Sol#3», «CUERDAS 3ª 4ª»), para no confundirla con la nota que tocas. Se ve también antes de pulsar ▶ (antes no salía). Lo esencial ya estaba validado; el aspecto nuevo lo verás en la próxima prueba.</t>
        </is>
      </c>
      <c r="P54" s="6" t="n"/>
      <c r="Q54" s="5" t="inlineStr"/>
    </row>
    <row r="55" ht="33" customHeight="1">
      <c r="A55" s="4" t="inlineStr">
        <is>
          <t>J-07</t>
        </is>
      </c>
      <c r="B55" s="5" t="inlineStr">
        <is>
          <t>Modo Adivinar</t>
        </is>
      </c>
      <c r="C55" s="5" t="inlineStr">
        <is>
          <t>Contador de racha visible durante el juego.</t>
        </is>
      </c>
      <c r="D55" s="5" t="inlineStr">
        <is>
          <t>Alta</t>
        </is>
      </c>
      <c r="E55" s="5" t="inlineStr">
        <is>
          <t>Cliente · listado 14/09</t>
        </is>
      </c>
      <c r="F55" s="5" t="inlineStr">
        <is>
          <t>F1</t>
        </is>
      </c>
      <c r="G55" s="5" t="inlineStr">
        <is>
          <t>F1.1</t>
        </is>
      </c>
      <c r="H55" s="5" t="inlineStr">
        <is>
          <t>T</t>
        </is>
      </c>
      <c r="I55" s="5" t="inlineStr">
        <is>
          <t>La racha sube con cada acierto y vuelve a 0 con cada fallo.</t>
        </is>
      </c>
      <c r="J55" s="5" t="inlineStr">
        <is>
          <t>Cumple</t>
        </is>
      </c>
      <c r="K55" s="5" t="inlineStr">
        <is>
          <t>0.1.0 **Validado en la Sesión 1** (20/10, informe `V-08`): E04.</t>
        </is>
      </c>
      <c r="L55" s="5" t="inlineStr">
        <is>
          <t>Banco (node --test): acierto y fallo · Sesión 1: E04</t>
        </is>
      </c>
      <c r="M55" s="5" t="inlineStr">
        <is>
          <t>Verificado</t>
        </is>
      </c>
      <c r="N55" s="5" t="inlineStr">
        <is>
          <t>Banco automático + auditor técnico</t>
        </is>
      </c>
      <c r="O55" s="5" t="inlineStr"/>
      <c r="P55" s="6" t="n"/>
      <c r="Q55" s="5" t="inlineStr"/>
    </row>
    <row r="56" ht="120" customHeight="1">
      <c r="A56" s="4" t="inlineStr">
        <is>
          <t>J-08</t>
        </is>
      </c>
      <c r="B56" s="5" t="inlineStr">
        <is>
          <t>Modo Adivinar</t>
        </is>
      </c>
      <c r="C56" s="5" t="inlineStr">
        <is>
          <t>El récord de racha más larga persiste entre sesiones.</t>
        </is>
      </c>
      <c r="D56" s="5" t="inlineStr">
        <is>
          <t>Alta</t>
        </is>
      </c>
      <c r="E56" s="5" t="inlineStr">
        <is>
          <t>Cliente · listado 14/09</t>
        </is>
      </c>
      <c r="F56" s="5" t="inlineStr">
        <is>
          <t>F1</t>
        </is>
      </c>
      <c r="G56" s="5" t="inlineStr">
        <is>
          <t>F1.1</t>
        </is>
      </c>
      <c r="H56" s="5" t="inlineStr">
        <is>
          <t>T</t>
        </is>
      </c>
      <c r="I56" s="5" t="inlineStr">
        <is>
          <t>El récord de cada afinación persiste tras recargar y tras «Restablecer todos los ajustes»; solo «Borrar los récords de racha» los pone a cero.</t>
        </is>
      </c>
      <c r="J56" s="5" t="inlineStr">
        <is>
          <t>Cumple</t>
        </is>
      </c>
      <c r="K56" s="5" t="inlineStr">
        <is>
          <t>0.1.0</t>
        </is>
      </c>
      <c r="L56" s="5" t="inlineStr">
        <is>
          <t>Banco (node --test): récords por afinación guardados y restablecer · F1.1 #13 · Sesión 1: A15</t>
        </is>
      </c>
      <c r="M56" s="5" t="inlineStr">
        <is>
          <t>Verificado parcialmente</t>
        </is>
      </c>
      <c r="N56" s="5" t="inlineStr">
        <is>
          <t>Banco automático + auditor técnico</t>
        </is>
      </c>
      <c r="O56" s="5" t="inlineStr">
        <is>
          <t>localStorage. No funciona en las previsualizaciones de artefactos; probar en local o en la web. Desde la 0.3.3 (Sesión 1, A14), «Restablecer todos los ajustes» conserva el récord, que se borra con su propio botón en Ajustes. No hacen falta usuarios: el récord es tuyo y vive en este navegador. Sesión 1 (20/10, informe V-08): lo esencial cumplió en A15; el cambio de la 0.3.3 lo pediste tú y se confirma en la Sesión 2. Desde la 0.4.1, un récord por afinación (J-11); «Borrar los récords de racha» los borra todos.</t>
        </is>
      </c>
      <c r="P56" s="6" t="n"/>
      <c r="Q56" s="5" t="inlineStr"/>
    </row>
    <row r="57" ht="48" customHeight="1">
      <c r="A57" s="4" t="inlineStr">
        <is>
          <t>J-09</t>
        </is>
      </c>
      <c r="B57" s="5" t="inlineStr">
        <is>
          <t>Modo Adivinar</t>
        </is>
      </c>
      <c r="C57" s="5" t="inlineStr">
        <is>
          <t>Feedback visual inmediato de acierto y de error.</t>
        </is>
      </c>
      <c r="D57" s="5" t="inlineStr">
        <is>
          <t>Alta</t>
        </is>
      </c>
      <c r="E57" s="5" t="inlineStr">
        <is>
          <t>Cliente · listado 14/09</t>
        </is>
      </c>
      <c r="F57" s="5" t="inlineStr">
        <is>
          <t>F1</t>
        </is>
      </c>
      <c r="G57" s="5" t="inlineStr">
        <is>
          <t>F1.1</t>
        </is>
      </c>
      <c r="H57" s="5" t="inlineStr">
        <is>
          <t>D</t>
        </is>
      </c>
      <c r="I57" s="5" t="inlineStr">
        <is>
          <t>Acierto y fallo se distinguen al instante por color y destello.</t>
        </is>
      </c>
      <c r="J57" s="5" t="inlineStr">
        <is>
          <t>Cumple</t>
        </is>
      </c>
      <c r="K57" s="5" t="inlineStr">
        <is>
          <t>0.1.0</t>
        </is>
      </c>
      <c r="L57" s="5" t="inlineStr">
        <is>
          <t>F1.1 #9 · Sesión 1: A09 y E04</t>
        </is>
      </c>
      <c r="M57" s="5" t="inlineStr">
        <is>
          <t>Verificado</t>
        </is>
      </c>
      <c r="N57" s="5" t="inlineStr">
        <is>
          <t>Cliente</t>
        </is>
      </c>
      <c r="O57" s="5" t="inlineStr">
        <is>
          <t>Color en la posición pulsada y destello en la barra del reto. Validado en la Sesión 1 (20/10, informe V-08): A09 y E04.</t>
        </is>
      </c>
      <c r="P57" s="6" t="n"/>
      <c r="Q57" s="5" t="inlineStr"/>
    </row>
    <row r="58" ht="120" customHeight="1">
      <c r="A58" s="4" t="inlineStr">
        <is>
          <t>J-10</t>
        </is>
      </c>
      <c r="B58" s="5" t="inlineStr">
        <is>
          <t>Modo Adivinar</t>
        </is>
      </c>
      <c r="C58" s="5" t="inlineStr">
        <is>
          <t>Al fallar se indica cuál era la posición correcta.</t>
        </is>
      </c>
      <c r="D58" s="5" t="inlineStr">
        <is>
          <t>Media</t>
        </is>
      </c>
      <c r="E58" s="5" t="inlineStr">
        <is>
          <t>Cliente · listado 14/09</t>
        </is>
      </c>
      <c r="F58" s="5" t="inlineStr">
        <is>
          <t>F1</t>
        </is>
      </c>
      <c r="G58" s="5" t="inlineStr">
        <is>
          <t>F1.3</t>
        </is>
      </c>
      <c r="H58" s="5" t="inlineStr">
        <is>
          <t>T</t>
        </is>
      </c>
      <c r="I58" s="5" t="inlineStr">
        <is>
          <t>Tras un fallo se marca la pulsada (relleno rojo y ✗); a los 1,2 s suena la nota buscada y se iluminan todas sus posiciones (relleno verde y ✓); 3 s después llega un reto nuevo limpio.</t>
        </is>
      </c>
      <c r="J58" s="5" t="inlineStr">
        <is>
          <t>Cumple</t>
        </is>
      </c>
      <c r="K58" s="5" t="inlineStr">
        <is>
          <t>0.1.2</t>
        </is>
      </c>
      <c r="L58" s="5" t="inlineStr">
        <is>
          <t>Banco (node --test): 8 comprobaciones · F1.1 #9 · Sesión 1: A09</t>
        </is>
      </c>
      <c r="M58" s="5" t="inlineStr">
        <is>
          <t>Verificado parcialmente</t>
        </is>
      </c>
      <c r="N58" s="5" t="inlineStr">
        <is>
          <t>Banco automático + auditor técnico</t>
        </is>
      </c>
      <c r="O58" s="5" t="inlineStr">
        <is>
          <t>El fallo rompe la racha siempre. Se iluminan todas las posiciones correctas y se vuelve a oír la nota buscada justo después de la pulsada, para aprender por contraste; luego llega el reto siguiente. Desde la 0.3.3 (Sesión 1, A09), la corrección llega a los 1,2 s (antes 0,65) y el reto siguiente 3 s después, para poder comparar las dos notas; el fallo se rellena en rojo con ✗ y las posiciones correctas en verde con ✓, de modo que no dependa solo del color. Sesión 1 (20/10, informe V-08): lo esencial cumplió en A09; el cambio de la 0.3.3 lo pediste tú y se confirma en la Sesión 2.</t>
        </is>
      </c>
      <c r="P58" s="6" t="n"/>
      <c r="Q58" s="5" t="inlineStr"/>
    </row>
    <row r="59" ht="120" customHeight="1">
      <c r="A59" s="4" t="inlineStr">
        <is>
          <t>J-11</t>
        </is>
      </c>
      <c r="B59" s="5" t="inlineStr">
        <is>
          <t>Modo Adivinar</t>
        </is>
      </c>
      <c r="C59" s="5" t="inlineStr">
        <is>
          <t>Cada afinación tiene su propio récord de racha.</t>
        </is>
      </c>
      <c r="D59" s="5" t="inlineStr">
        <is>
          <t>Media</t>
        </is>
      </c>
      <c r="E59" s="5" t="inlineStr">
        <is>
          <t>Desarrollo · v1.1</t>
        </is>
      </c>
      <c r="F59" s="5" t="inlineStr">
        <is>
          <t>F4</t>
        </is>
      </c>
      <c r="G59" s="5" t="inlineStr">
        <is>
          <t>F4.4</t>
        </is>
      </c>
      <c r="H59" s="5" t="inlineStr">
        <is>
          <t>T</t>
        </is>
      </c>
      <c r="I59" s="5" t="inlineStr">
        <is>
          <t>Cada afinación guarda su récord; el récord único de antes pasa a Estándar; cambiar de afinación empieza la racha.</t>
        </is>
      </c>
      <c r="J59" s="5" t="inlineStr">
        <is>
          <t>Cumple</t>
        </is>
      </c>
      <c r="K59" s="5" t="inlineStr">
        <is>
          <t>0.4.1</t>
        </is>
      </c>
      <c r="L59" s="5" t="inlineStr">
        <is>
          <t>Banco (node --test): récord por afinación, migración y cambio de afinación</t>
        </is>
      </c>
      <c r="M59" s="5" t="inlineStr">
        <is>
          <t>Verificado</t>
        </is>
      </c>
      <c r="N59" s="5" t="inlineStr">
        <is>
          <t>Banco automático + auditor técnico</t>
        </is>
      </c>
      <c r="O59" s="5" t="inlineStr">
        <is>
          <t>Decidido el 21/10 (tu elección entre récord único o por afinación): por afinación, porque una racha en DADGAD no es comparable con una en estándar. Desde la 0.4.1, el récord que tenías pasa a Estándar; cambiar de afinación empieza la racha de nuevo y enseña el récord de esa afinación («Récord 7 · Estándar»). Validado por el banco.</t>
        </is>
      </c>
      <c r="P59" s="6" t="n"/>
      <c r="Q59" s="5" t="inlineStr"/>
    </row>
    <row r="60" ht="63" customHeight="1">
      <c r="A60" s="4" t="inlineStr">
        <is>
          <t>J-12</t>
        </is>
      </c>
      <c r="B60" s="5" t="inlineStr">
        <is>
          <t>Modo Adivinar</t>
        </is>
      </c>
      <c r="C60" s="5" t="inlineStr">
        <is>
          <t>Los ajustes que revelan la respuesta —ver todas las notas— no se aplican en Adivinar.</t>
        </is>
      </c>
      <c r="D60" s="5" t="inlineStr">
        <is>
          <t>Alta</t>
        </is>
      </c>
      <c r="E60" s="5" t="inlineStr">
        <is>
          <t>Revisión de código 0.1.2</t>
        </is>
      </c>
      <c r="F60" s="5" t="inlineStr">
        <is>
          <t>F1</t>
        </is>
      </c>
      <c r="G60" s="5" t="inlineStr">
        <is>
          <t>F1.3</t>
        </is>
      </c>
      <c r="H60" s="5" t="inlineStr">
        <is>
          <t>T</t>
        </is>
      </c>
      <c r="I60" s="5" t="inlineStr">
        <is>
          <t>Con «Ver todas las notas» activo, Adivinar no muestra los nombres.</t>
        </is>
      </c>
      <c r="J60" s="5" t="inlineStr">
        <is>
          <t>Cumple</t>
        </is>
      </c>
      <c r="K60" s="5" t="inlineStr">
        <is>
          <t>0.1.2</t>
        </is>
      </c>
      <c r="L60" s="5" t="inlineStr">
        <is>
          <t>Banco (node --test) · F1.1 #10 · Sesión 1: A10</t>
        </is>
      </c>
      <c r="M60" s="5" t="inlineStr">
        <is>
          <t>Verificado</t>
        </is>
      </c>
      <c r="N60" s="5" t="inlineStr">
        <is>
          <t>Banco automático + auditor técnico</t>
        </is>
      </c>
      <c r="O60" s="5" t="inlineStr">
        <is>
          <t>Encontrado al revisar el código: con «ver todas las notas» activo, el juego mostraba la solución. Validado en la Sesión 1 (20/10, informe V-08): A10.</t>
        </is>
      </c>
      <c r="P60" s="6" t="n"/>
      <c r="Q60" s="5" t="inlineStr"/>
    </row>
    <row r="61" ht="93" customHeight="1">
      <c r="A61" s="4" t="inlineStr">
        <is>
          <t>E-01</t>
        </is>
      </c>
      <c r="B61" s="5" t="inlineStr">
        <is>
          <t>Escalas</t>
        </is>
      </c>
      <c r="C61" s="5" t="inlineStr">
        <is>
          <t>Selección de escala a practicar (tónica + tipo).</t>
        </is>
      </c>
      <c r="D61" s="5" t="inlineStr">
        <is>
          <t>Alta</t>
        </is>
      </c>
      <c r="E61" s="5" t="inlineStr">
        <is>
          <t>Cliente · listado 14/09</t>
        </is>
      </c>
      <c r="F61" s="5" t="inlineStr">
        <is>
          <t>F5</t>
        </is>
      </c>
      <c r="G61" s="5" t="inlineStr">
        <is>
          <t>F5.2</t>
        </is>
      </c>
      <c r="H61" s="5" t="inlineStr">
        <is>
          <t>D</t>
        </is>
      </c>
      <c r="I61" s="5" t="inlineStr">
        <is>
          <t>Se puede elegir tónica y tipo de escala entre el catálogo aprobado (mayor, menor natural, pentatónicas mayor y menor; 21/10).</t>
        </is>
      </c>
      <c r="J61" s="5" t="inlineStr">
        <is>
          <t>Cumple</t>
        </is>
      </c>
      <c r="K61" s="5" t="inlineStr">
        <is>
          <t>0.5.0</t>
        </is>
      </c>
      <c r="L61" s="5" t="inlineStr">
        <is>
          <t>Banco (node --test): selectores de tónica y tipo</t>
        </is>
      </c>
      <c r="M61" s="5" t="inlineStr">
        <is>
          <t>Pendiente</t>
        </is>
      </c>
      <c r="N61" s="5" t="inlineStr">
        <is>
          <t>Cliente</t>
        </is>
      </c>
      <c r="O61" s="5" t="inlineStr">
        <is>
          <t>Catálogo decidido el 21/10 (tu elección): mayor, menor natural, pentatónica mayor y pentatónica menor, en las 12 tónicas. Hecho en la 0.5.0: Escalas › tónica y tipo; la tónica se escribe según el tipo (Re♭ mayor, Do♯ menor). Falta que lo veas.</t>
        </is>
      </c>
      <c r="P61" s="6" t="n"/>
      <c r="Q61" s="5" t="inlineStr">
        <is>
          <t>Modificado</t>
        </is>
      </c>
    </row>
    <row r="62" ht="120" customHeight="1">
      <c r="A62" s="4" t="inlineStr">
        <is>
          <t>E-02</t>
        </is>
      </c>
      <c r="B62" s="5" t="inlineStr">
        <is>
          <t>Escalas</t>
        </is>
      </c>
      <c r="C62" s="5" t="inlineStr">
        <is>
          <t>El generador de escalas opera solo en afinación estándar en la primera entrega.</t>
        </is>
      </c>
      <c r="D62" s="5" t="inlineStr">
        <is>
          <t>Alta</t>
        </is>
      </c>
      <c r="E62" s="5" t="inlineStr">
        <is>
          <t>Cliente · listado 14/09</t>
        </is>
      </c>
      <c r="F62" s="5" t="inlineStr">
        <is>
          <t>F5</t>
        </is>
      </c>
      <c r="G62" s="5" t="inlineStr">
        <is>
          <t>F5.2</t>
        </is>
      </c>
      <c r="H62" s="5" t="inlineStr">
        <is>
          <t>T</t>
        </is>
      </c>
      <c r="I62" s="5" t="inlineStr">
        <is>
          <t>Para cada tónica y tipo, las posiciones generadas coinciden con una referencia externa en afinación estándar.</t>
        </is>
      </c>
      <c r="J62" s="5" t="inlineStr">
        <is>
          <t>Cumple</t>
        </is>
      </c>
      <c r="K62" s="5" t="inlineStr">
        <is>
          <t>0.5.0</t>
        </is>
      </c>
      <c r="L62" s="5" t="inlineStr">
        <is>
          <t>tests/escalas.test.js: las 48 escalas frente al círculo de quintas; casillas por clase de altura</t>
        </is>
      </c>
      <c r="M62" s="5" t="inlineStr">
        <is>
          <t>Verificado</t>
        </is>
      </c>
      <c r="N62" s="5" t="inlineStr">
        <is>
          <t>Banco automático + auditor técnico</t>
        </is>
      </c>
      <c r="O62" s="5" t="inlineStr">
        <is>
          <t>Alcance acotado. Las demás afinaciones pasan a E-02b. Hecho y validado en la 0.5.0 (banco tests/escalas.test.js): las 48 escalas se escriben como en el círculo de quintas, con siete letras distintas en las mayores y menores y sin mezclar ♯ y ♭. Las casillas salen de la clase de altura de cada nota, así que también funcionan en las demás afinaciones; lo que sigue fuera (E-02b) son las digitaciones.</t>
        </is>
      </c>
      <c r="P62" s="6" t="n"/>
      <c r="Q62" s="5" t="inlineStr">
        <is>
          <t>Modificado</t>
        </is>
      </c>
    </row>
    <row r="63" ht="48" customHeight="1">
      <c r="A63" s="4" t="inlineStr">
        <is>
          <t>E-02b</t>
        </is>
      </c>
      <c r="B63" s="5" t="inlineStr">
        <is>
          <t>Escalas</t>
        </is>
      </c>
      <c r="C63" s="5" t="inlineStr">
        <is>
          <t>Escalas en afinaciones alternativas y variantes de digitación (por ejemplo, escala en octavas).</t>
        </is>
      </c>
      <c r="D63" s="5" t="inlineStr">
        <is>
          <t>Media</t>
        </is>
      </c>
      <c r="E63" s="5" t="inlineStr">
        <is>
          <t>AR-01</t>
        </is>
      </c>
      <c r="F63" s="5" t="inlineStr">
        <is>
          <t>Posterior</t>
        </is>
      </c>
      <c r="G63" s="5" t="inlineStr">
        <is>
          <t>Posterior</t>
        </is>
      </c>
      <c r="H63" s="5" t="inlineStr">
        <is>
          <t>N/A</t>
        </is>
      </c>
      <c r="I63" s="5" t="inlineStr">
        <is>
          <t>Fuera del alcance actual.</t>
        </is>
      </c>
      <c r="J63" s="5" t="inlineStr">
        <is>
          <t>No aplica</t>
        </is>
      </c>
      <c r="K63" s="5" t="inlineStr">
        <is>
          <t>—</t>
        </is>
      </c>
      <c r="L63" s="5" t="inlineStr">
        <is>
          <t>—</t>
        </is>
      </c>
      <c r="M63" s="5" t="inlineStr">
        <is>
          <t>No aplica</t>
        </is>
      </c>
      <c r="N63" s="5" t="inlineStr">
        <is>
          <t>—</t>
        </is>
      </c>
      <c r="O63" s="5" t="inlineStr">
        <is>
          <t>Fuera del alcance de F5.</t>
        </is>
      </c>
      <c r="P63" s="6" t="n"/>
      <c r="Q63" s="5" t="inlineStr"/>
    </row>
    <row r="64" ht="63" customHeight="1">
      <c r="A64" s="4" t="inlineStr">
        <is>
          <t>E-03</t>
        </is>
      </c>
      <c r="B64" s="5" t="inlineStr">
        <is>
          <t>Escalas</t>
        </is>
      </c>
      <c r="C64" s="5" t="inlineStr">
        <is>
          <t>Submodo Mostrar: la app ilumina las notas que componen la escala.</t>
        </is>
      </c>
      <c r="D64" s="5" t="inlineStr">
        <is>
          <t>Alta</t>
        </is>
      </c>
      <c r="E64" s="5" t="inlineStr">
        <is>
          <t>Cliente · listado 14/09</t>
        </is>
      </c>
      <c r="F64" s="5" t="inlineStr">
        <is>
          <t>F5</t>
        </is>
      </c>
      <c r="G64" s="5" t="inlineStr">
        <is>
          <t>F5.3</t>
        </is>
      </c>
      <c r="H64" s="5" t="inlineStr">
        <is>
          <t>D</t>
        </is>
      </c>
      <c r="I64" s="5" t="inlineStr">
        <is>
          <t>Mostrar ilumina únicamente las notas de la escala, con su nombre escrito y la tónica con anillo.</t>
        </is>
      </c>
      <c r="J64" s="5" t="inlineStr">
        <is>
          <t>Cumple</t>
        </is>
      </c>
      <c r="K64" s="5" t="inlineStr">
        <is>
          <t>0.5.0</t>
        </is>
      </c>
      <c r="L64" s="5" t="inlineStr">
        <is>
          <t>Banco (node --test): casillas de Do mayor y de Fa mayor (Si♭)</t>
        </is>
      </c>
      <c r="M64" s="5" t="inlineStr">
        <is>
          <t>Pendiente</t>
        </is>
      </c>
      <c r="N64" s="5" t="inlineStr">
        <is>
          <t>Cliente</t>
        </is>
      </c>
      <c r="O64" s="5" t="inlineStr">
        <is>
          <t>Hecho en la 0.5.0: el mástil enseña solo las notas de la escala, con su nombre escrito (Si♭ en Fa mayor, no La#) y la tónica con anillo. Falta que lo veas.</t>
        </is>
      </c>
      <c r="P64" s="6" t="n"/>
      <c r="Q64" s="5" t="inlineStr">
        <is>
          <t>Modificado</t>
        </is>
      </c>
    </row>
    <row r="65" ht="93" customHeight="1">
      <c r="A65" s="4" t="inlineStr">
        <is>
          <t>E-04</t>
        </is>
      </c>
      <c r="B65" s="5" t="inlineStr">
        <is>
          <t>Escalas</t>
        </is>
      </c>
      <c r="C65" s="5" t="inlineStr">
        <is>
          <t>En Mostrar se indica el nombre de cada nota y su separación interválica respecto a la anterior.</t>
        </is>
      </c>
      <c r="D65" s="5" t="inlineStr">
        <is>
          <t>Alta</t>
        </is>
      </c>
      <c r="E65" s="5" t="inlineStr">
        <is>
          <t>Cliente · listado 14/09</t>
        </is>
      </c>
      <c r="F65" s="5" t="inlineStr">
        <is>
          <t>F5</t>
        </is>
      </c>
      <c r="G65" s="5" t="inlineStr">
        <is>
          <t>F5.3</t>
        </is>
      </c>
      <c r="H65" s="5" t="inlineStr">
        <is>
          <t>D</t>
        </is>
      </c>
      <c r="I65" s="5" t="inlineStr">
        <is>
          <t>Las notas de la escala muestran su nombre y la línea de notas indica el intervalo T, ST o T½ respecto al grado anterior.</t>
        </is>
      </c>
      <c r="J65" s="5" t="inlineStr">
        <is>
          <t>Cumple</t>
        </is>
      </c>
      <c r="K65" s="5" t="inlineStr">
        <is>
          <t>0.5.0</t>
        </is>
      </c>
      <c r="L65" s="5" t="inlineStr">
        <is>
          <t>Banco (node --test): «Do T Re T Mi ST Fa…» y la pentatónica menor</t>
        </is>
      </c>
      <c r="M65" s="5" t="inlineStr">
        <is>
          <t>Pendiente</t>
        </is>
      </c>
      <c r="N65" s="5" t="inlineStr">
        <is>
          <t>Cliente</t>
        </is>
      </c>
      <c r="O65" s="5" t="inlineStr">
        <is>
          <t>Etiquetas tipo T — T — ST — T — T — T — ST. Hecho en la 0.5.0: encima del paso a paso, «Do T Re T Mi ST Fa…»; en las pentatónicas aparece también T½ (tono y medio). Los intervalos van en esa línea y no en cada casilla, donde no caben. Falta que lo veas.</t>
        </is>
      </c>
      <c r="P65" s="6" t="n"/>
      <c r="Q65" s="5" t="inlineStr">
        <is>
          <t>Modificado</t>
        </is>
      </c>
    </row>
    <row r="66" ht="108" customHeight="1">
      <c r="A66" s="4" t="inlineStr">
        <is>
          <t>E-05</t>
        </is>
      </c>
      <c r="B66" s="5" t="inlineStr">
        <is>
          <t>Escalas</t>
        </is>
      </c>
      <c r="C66" s="5" t="inlineStr">
        <is>
          <t>Submodo Práctica: valida solo la pertenencia de la nota a la escala; al pulsar una ajena, marca error e ilumina las correctas.</t>
        </is>
      </c>
      <c r="D66" s="5" t="inlineStr">
        <is>
          <t>Alta</t>
        </is>
      </c>
      <c r="E66" s="5" t="inlineStr">
        <is>
          <t>Cliente · listado 14/09</t>
        </is>
      </c>
      <c r="F66" s="5" t="inlineStr">
        <is>
          <t>F5</t>
        </is>
      </c>
      <c r="G66" s="5" t="inlineStr">
        <is>
          <t>F5.4</t>
        </is>
      </c>
      <c r="H66" s="5" t="inlineStr">
        <is>
          <t>T</t>
        </is>
      </c>
      <c r="I66" s="5" t="inlineStr">
        <is>
          <t>En Práctica, una nota ajena marca error e ilumina las correctas; una nota de la escala no marca error.</t>
        </is>
      </c>
      <c r="J66" s="5" t="inlineStr">
        <is>
          <t>Cumple</t>
        </is>
      </c>
      <c r="K66" s="5" t="inlineStr">
        <is>
          <t>0.5.0</t>
        </is>
      </c>
      <c r="L66" s="5" t="inlineStr">
        <is>
          <t>Banco (node --test): conteo de notas distintas, fallo, revelado y reinicio</t>
        </is>
      </c>
      <c r="M66" s="5" t="inlineStr">
        <is>
          <t>Verificado</t>
        </is>
      </c>
      <c r="N66" s="5" t="inlineStr">
        <is>
          <t>Banco automático + auditor técnico</t>
        </is>
      </c>
      <c r="O66" s="5" t="inlineStr">
        <is>
          <t>Alcance acotado: no valida orden ni digitación. Hecho y validado en la 0.5.0 (banco): cada nota distinta cuenta una vez («3 de 7»); una ajena se marca en rojo y se enseñan un momento las buenas; el pentagrama solo escribe las que ya has encontrado. Falta probarlo con la guitarra (Sesión 2).</t>
        </is>
      </c>
      <c r="P66" s="6" t="n"/>
      <c r="Q66" s="5" t="inlineStr">
        <is>
          <t>Modificado</t>
        </is>
      </c>
    </row>
    <row r="67" ht="33" customHeight="1">
      <c r="A67" s="4" t="inlineStr">
        <is>
          <t>E-05b</t>
        </is>
      </c>
      <c r="B67" s="5" t="inlineStr">
        <is>
          <t>Escalas</t>
        </is>
      </c>
      <c r="C67" s="5" t="inlineStr">
        <is>
          <t>Validación del orden de la escala y de patrones de digitación concretos.</t>
        </is>
      </c>
      <c r="D67" s="5" t="inlineStr">
        <is>
          <t>Media</t>
        </is>
      </c>
      <c r="E67" s="5" t="inlineStr">
        <is>
          <t>AR-01</t>
        </is>
      </c>
      <c r="F67" s="5" t="inlineStr">
        <is>
          <t>Posterior</t>
        </is>
      </c>
      <c r="G67" s="5" t="inlineStr">
        <is>
          <t>Posterior</t>
        </is>
      </c>
      <c r="H67" s="5" t="inlineStr">
        <is>
          <t>N/A</t>
        </is>
      </c>
      <c r="I67" s="5" t="inlineStr">
        <is>
          <t>Fuera del alcance actual.</t>
        </is>
      </c>
      <c r="J67" s="5" t="inlineStr">
        <is>
          <t>No aplica</t>
        </is>
      </c>
      <c r="K67" s="5" t="inlineStr">
        <is>
          <t>—</t>
        </is>
      </c>
      <c r="L67" s="5" t="inlineStr">
        <is>
          <t>—</t>
        </is>
      </c>
      <c r="M67" s="5" t="inlineStr">
        <is>
          <t>No aplica</t>
        </is>
      </c>
      <c r="N67" s="5" t="inlineStr">
        <is>
          <t>—</t>
        </is>
      </c>
      <c r="O67" s="5" t="inlineStr">
        <is>
          <t>Fuera del alcance de F5.</t>
        </is>
      </c>
      <c r="P67" s="6" t="n"/>
      <c r="Q67" s="5" t="inlineStr"/>
    </row>
    <row r="68" ht="78" customHeight="1">
      <c r="A68" s="4" t="inlineStr">
        <is>
          <t>E-06</t>
        </is>
      </c>
      <c r="B68" s="5" t="inlineStr">
        <is>
          <t>Escalas</t>
        </is>
      </c>
      <c r="C68" s="5" t="inlineStr">
        <is>
          <t>Guiado nota a nota en el submodo Mostrar.</t>
        </is>
      </c>
      <c r="D68" s="5" t="inlineStr">
        <is>
          <t>Media</t>
        </is>
      </c>
      <c r="E68" s="5" t="inlineStr">
        <is>
          <t>Cliente · listado 14/09</t>
        </is>
      </c>
      <c r="F68" s="5" t="inlineStr">
        <is>
          <t>F5</t>
        </is>
      </c>
      <c r="G68" s="5" t="inlineStr">
        <is>
          <t>F5.3</t>
        </is>
      </c>
      <c r="H68" s="5" t="inlineStr">
        <is>
          <t>D</t>
        </is>
      </c>
      <c r="I68" s="5" t="inlineStr">
        <is>
          <t>El guiado avanza nota a nota por la escala.</t>
        </is>
      </c>
      <c r="J68" s="5" t="inlineStr">
        <is>
          <t>Cumple</t>
        </is>
      </c>
      <c r="K68" s="5" t="inlineStr">
        <is>
          <t>0.5.0</t>
        </is>
      </c>
      <c r="L68" s="5" t="inlineStr">
        <is>
          <t>Banco (node --test): pasos que suenan y se resaltan, de la tónica grave a su octava</t>
        </is>
      </c>
      <c r="M68" s="5" t="inlineStr">
        <is>
          <t>Pendiente</t>
        </is>
      </c>
      <c r="N68" s="5" t="inlineStr">
        <is>
          <t>Cliente</t>
        </is>
      </c>
      <c r="O68" s="5" t="inlineStr">
        <is>
          <t>Hecho en la 0.5.0: ◀ ▶ recorre la escala desde la tónica más grave del mástil hasta su octava; cada paso suena, se resalta en el mástil y en el pentagrama, y se explica («Mi, un tono sobre Re»). Falta que lo veas.</t>
        </is>
      </c>
      <c r="P68" s="6" t="n"/>
      <c r="Q68" s="5" t="inlineStr">
        <is>
          <t>Modificado</t>
        </is>
      </c>
    </row>
    <row r="69" ht="33" customHeight="1">
      <c r="A69" s="4" t="inlineStr">
        <is>
          <t>A-01</t>
        </is>
      </c>
      <c r="B69" s="5" t="inlineStr">
        <is>
          <t>Afinador</t>
        </is>
      </c>
      <c r="C69" s="5" t="inlineStr">
        <is>
          <t>Afinador por referencia: la app reproduce la nota de cada cuerda para afinar de oído.</t>
        </is>
      </c>
      <c r="D69" s="5" t="inlineStr">
        <is>
          <t>Alta</t>
        </is>
      </c>
      <c r="E69" s="5" t="inlineStr">
        <is>
          <t>Cliente · listado 14/09</t>
        </is>
      </c>
      <c r="F69" s="5" t="inlineStr">
        <is>
          <t>F1</t>
        </is>
      </c>
      <c r="G69" s="5" t="inlineStr">
        <is>
          <t>F1.1</t>
        </is>
      </c>
      <c r="H69" s="5" t="inlineStr">
        <is>
          <t>D</t>
        </is>
      </c>
      <c r="I69" s="5" t="inlineStr">
        <is>
          <t>Pulsar cada cuerda en el afinador reproduce su nota de referencia.</t>
        </is>
      </c>
      <c r="J69" s="5" t="inlineStr">
        <is>
          <t>Cumple</t>
        </is>
      </c>
      <c r="K69" s="5" t="inlineStr">
        <is>
          <t>0.1.0</t>
        </is>
      </c>
      <c r="L69" s="5" t="inlineStr">
        <is>
          <t>F1.1 #14</t>
        </is>
      </c>
      <c r="M69" s="5" t="inlineStr">
        <is>
          <t>Pendiente</t>
        </is>
      </c>
      <c r="N69" s="5" t="inlineStr">
        <is>
          <t>Cliente</t>
        </is>
      </c>
      <c r="O69" s="5" t="inlineStr">
        <is>
          <t>El MVP real del afinador.</t>
        </is>
      </c>
      <c r="P69" s="6" t="n"/>
      <c r="Q69" s="5" t="inlineStr"/>
    </row>
    <row r="70" ht="120" customHeight="1">
      <c r="A70" s="4" t="inlineStr">
        <is>
          <t>A-02</t>
        </is>
      </c>
      <c r="B70" s="5" t="inlineStr">
        <is>
          <t>Afinador</t>
        </is>
      </c>
      <c r="C70" s="5" t="inlineStr">
        <is>
          <t>Afinador por micrófono: capta la cuerda e indica si subir o bajar.</t>
        </is>
      </c>
      <c r="D70" s="5" t="inlineStr">
        <is>
          <t>Alta</t>
        </is>
      </c>
      <c r="E70" s="5" t="inlineStr">
        <is>
          <t>Cliente · listado 14/09</t>
        </is>
      </c>
      <c r="F70" s="5" t="inlineStr">
        <is>
          <t>F4</t>
        </is>
      </c>
      <c r="G70" s="5" t="inlineStr">
        <is>
          <t>F4.3</t>
        </is>
      </c>
      <c r="H70" s="5" t="inlineStr">
        <is>
          <t>D</t>
        </is>
      </c>
      <c r="I70" s="5" t="inlineStr">
        <is>
          <t>Con una guitarra real, el afinador indica subir o bajar hasta dejarla afinada, en estándar y en una alternativa.</t>
        </is>
      </c>
      <c r="J70" s="5" t="inlineStr">
        <is>
          <t>Cumple</t>
        </is>
      </c>
      <c r="K70" s="5" t="inlineStr">
        <is>
          <t>0.4.0</t>
        </is>
      </c>
      <c r="L70" s="5" t="inlineStr">
        <is>
          <t>comprobar-afinador.js (Chromium, grabación real 12 cents baja → «La2 · −11 cents · Sube un poco»; hilo aparte; se apaga al salir) · Banco (node --test): flujo del permiso</t>
        </is>
      </c>
      <c r="M70" s="5" t="inlineStr">
        <is>
          <t>Pendiente</t>
        </is>
      </c>
      <c r="N70" s="5" t="inlineStr">
        <is>
          <t>Cliente</t>
        </is>
      </c>
      <c r="O70" s="5" t="inlineStr">
        <is>
          <t>Exige contexto seguro: funciona en https y en localhost, no abriendo el archivo (file://). Hecho en la 0.4.0 (F4.3): Afinador › Micrófono › «Activar el micrófono»; se apaga al salir del Afinador o al ocultar la app, y el sonido se analiza solo en el dispositivo. En Chromium, con una grabación real de la 5ª cuerda 12 cents baja como micrófono, dice «La2 · −11 cents · ▲ Sube un poco» (herramientas/comprobar-afinador.js). En el iPhone se prueba en la web de pruebas, que es https. Falta tu comprobación con la guitarra (10 minutos).</t>
        </is>
      </c>
      <c r="P70" s="6" t="n"/>
      <c r="Q70" s="5" t="inlineStr"/>
    </row>
    <row r="71" ht="120" customHeight="1">
      <c r="A71" s="4" t="inlineStr">
        <is>
          <t>A-02-CA</t>
        </is>
      </c>
      <c r="B71" s="5" t="inlineStr">
        <is>
          <t>Afinador</t>
        </is>
      </c>
      <c r="C71" s="5" t="inlineStr">
        <is>
          <t>Criterios de aceptación de A-02: precisión de detección ±2 cents en silencio razonable, latencia menor de 300 ms; el ruido de fondo queda fuera de la primera entrega.</t>
        </is>
      </c>
      <c r="D71" s="5" t="inlineStr">
        <is>
          <t>Alta</t>
        </is>
      </c>
      <c r="E71" s="5" t="inlineStr">
        <is>
          <t>AR-01</t>
        </is>
      </c>
      <c r="F71" s="5" t="inlineStr">
        <is>
          <t>F4</t>
        </is>
      </c>
      <c r="G71" s="5" t="inlineStr">
        <is>
          <t>F4.2</t>
        </is>
      </c>
      <c r="H71" s="5" t="inlineStr">
        <is>
          <t>T</t>
        </is>
      </c>
      <c r="I71" s="5" t="inlineStr">
        <is>
          <t>Banco de pruebas: error ≤ ±2 cents y latencia &lt; 300 ms sobre muestras desafinadas una cantidad conocida, tomando como referencia su frecuencia medida en samples/afinacion.json.</t>
        </is>
      </c>
      <c r="J71" s="5" t="inlineStr">
        <is>
          <t>Cumple</t>
        </is>
      </c>
      <c r="K71" s="5" t="inlineStr">
        <is>
          <t>0.4.0</t>
        </is>
      </c>
      <c r="L71" s="5" t="inlineStr">
        <is>
          <t>tests/tono.test.js: 12 grabaciones reales de −45 a +40 cents; peor error 1,86 cents frente a su medida y 1,01 trozo a trozo; aguja en su nota en ≤ 168 ms + 3 ms de cálculo</t>
        </is>
      </c>
      <c r="M71" s="5" t="inlineStr">
        <is>
          <t>Verificado</t>
        </is>
      </c>
      <c r="N71" s="5" t="inlineStr">
        <is>
          <t>Banco automático + auditor técnico</t>
        </is>
      </c>
      <c r="O71" s="5" t="inlineStr">
        <is>
          <t>La precisión de detección debe ser mejor que el umbral de «afinado» de A-03. Hecho y validado en la 0.4.0 (F4.2, banco tests/tono.test.js): método YIN en un hilo aparte. Con las 12 grabaciones de cuerdas al aire de la app, desafinadas de −45 a +40 cents: peor error 1,86 cents frente a su frecuencia medida y 1,01 cents trozo a trozo; la aguja sale en su nota en 168 ms como mucho (más hasta 3 ms de cálculo). Nota: al pulsarla, una cuerda real suena unos cents alta y se asienta en unos 0,3 s; la aguja lo refleja, y eso es la cuerda, no el detector.</t>
        </is>
      </c>
      <c r="P71" s="6" t="n"/>
      <c r="Q71" s="5" t="inlineStr"/>
    </row>
    <row r="72" ht="78" customHeight="1">
      <c r="A72" s="4" t="inlineStr">
        <is>
          <t>A-03</t>
        </is>
      </c>
      <c r="B72" s="5" t="inlineStr">
        <is>
          <t>Afinador</t>
        </is>
      </c>
      <c r="C72" s="5" t="inlineStr">
        <is>
          <t>Indicador de desviación en cents, con umbral de afinado en ±5 cents.</t>
        </is>
      </c>
      <c r="D72" s="5" t="inlineStr">
        <is>
          <t>Alta</t>
        </is>
      </c>
      <c r="E72" s="5" t="inlineStr">
        <is>
          <t>Cliente · listado 14/09</t>
        </is>
      </c>
      <c r="F72" s="5" t="inlineStr">
        <is>
          <t>F4</t>
        </is>
      </c>
      <c r="G72" s="5" t="inlineStr">
        <is>
          <t>F4.3</t>
        </is>
      </c>
      <c r="H72" s="5" t="inlineStr">
        <is>
          <t>D</t>
        </is>
      </c>
      <c r="I72" s="5" t="inlineStr">
        <is>
          <t>La aguja indica la desviación en cents y marca «afinado» dentro de ±5 cents.</t>
        </is>
      </c>
      <c r="J72" s="5" t="inlineStr">
        <is>
          <t>Cumple</t>
        </is>
      </c>
      <c r="K72" s="5" t="inlineStr">
        <is>
          <t>0.4.0</t>
        </is>
      </c>
      <c r="L72" s="5" t="inlineStr">
        <is>
          <t>Banco (node --test): «Sube un poco» a −12, «Afinada» a +3 · comprobar-afinador.js</t>
        </is>
      </c>
      <c r="M72" s="5" t="inlineStr">
        <is>
          <t>Pendiente</t>
        </is>
      </c>
      <c r="N72" s="5" t="inlineStr">
        <is>
          <t>Cliente</t>
        </is>
      </c>
      <c r="O72" s="5" t="inlineStr">
        <is>
          <t>Hecho en la 0.4.0: aguja de −50 a +50 cents con la franja verde de ±5, los cents en número y la orden «▲ Sube (un poco)», «▼ Baja (un poco)» o «✓ Afinada». Falta tu comprobación con la guitarra.</t>
        </is>
      </c>
      <c r="P72" s="6" t="n"/>
      <c r="Q72" s="5" t="inlineStr"/>
    </row>
    <row r="73" ht="108" customHeight="1">
      <c r="A73" s="4" t="inlineStr">
        <is>
          <t>A-04</t>
        </is>
      </c>
      <c r="B73" s="5" t="inlineStr">
        <is>
          <t>Afinador</t>
        </is>
      </c>
      <c r="C73" s="5" t="inlineStr">
        <is>
          <t>Detección automática de cuerda por proximidad a la nota detectada.</t>
        </is>
      </c>
      <c r="D73" s="5" t="inlineStr">
        <is>
          <t>Alta</t>
        </is>
      </c>
      <c r="E73" s="5" t="inlineStr">
        <is>
          <t>Cliente · listado 14/09</t>
        </is>
      </c>
      <c r="F73" s="5" t="inlineStr">
        <is>
          <t>F4</t>
        </is>
      </c>
      <c r="G73" s="5" t="inlineStr">
        <is>
          <t>F4.3</t>
        </is>
      </c>
      <c r="H73" s="5" t="inlineStr">
        <is>
          <t>T</t>
        </is>
      </c>
      <c r="I73" s="5" t="inlineStr">
        <is>
          <t>Con la cuerda a menos de un semitono de su nota, el afinador identifica la cuerda correcta.</t>
        </is>
      </c>
      <c r="J73" s="5" t="inlineStr">
        <is>
          <t>Cumple</t>
        </is>
      </c>
      <c r="K73" s="5" t="inlineStr">
        <is>
          <t>0.4.0</t>
        </is>
      </c>
      <c r="L73" s="5" t="inlineStr">
        <is>
          <t>Banco (node --test): las 6 cuerdas a −90 y +90 cents, y la 6ª en Drop D</t>
        </is>
      </c>
      <c r="M73" s="5" t="inlineStr">
        <is>
          <t>Verificado</t>
        </is>
      </c>
      <c r="N73" s="5" t="inlineStr">
        <is>
          <t>Banco automático + auditor técnico</t>
        </is>
      </c>
      <c r="O73" s="5" t="inlineStr">
        <is>
          <t>Limitación asumida: con una cuerda muy desafinada puede elegir la equivocada. Hecho y validado en la 0.4.0 (banco): con «Auto», la cuerda de nota más cercana en la afinación activa. Cada una de las 6 cuerdas, 90 cents baja o alta, se identifica bien, y con Drop D también la 6ª (Re2).</t>
        </is>
      </c>
      <c r="P73" s="6" t="n"/>
      <c r="Q73" s="5" t="inlineStr"/>
    </row>
    <row r="74" ht="93" customHeight="1">
      <c r="A74" s="4" t="inlineStr">
        <is>
          <t>A-05</t>
        </is>
      </c>
      <c r="B74" s="5" t="inlineStr">
        <is>
          <t>Afinador</t>
        </is>
      </c>
      <c r="C74" s="5" t="inlineStr">
        <is>
          <t>Selección manual de cuerda, que prevalece sobre A-04.</t>
        </is>
      </c>
      <c r="D74" s="5" t="inlineStr">
        <is>
          <t>Alta</t>
        </is>
      </c>
      <c r="E74" s="5" t="inlineStr">
        <is>
          <t>Cliente · listado 14/09</t>
        </is>
      </c>
      <c r="F74" s="5" t="inlineStr">
        <is>
          <t>F4</t>
        </is>
      </c>
      <c r="G74" s="5" t="inlineStr">
        <is>
          <t>F4.3</t>
        </is>
      </c>
      <c r="H74" s="5" t="inlineStr">
        <is>
          <t>D</t>
        </is>
      </c>
      <c r="I74" s="5" t="inlineStr">
        <is>
          <t>Con una cuerda fijada a mano, el afinador la usa como referencia aunque esté muy desafinada.</t>
        </is>
      </c>
      <c r="J74" s="5" t="inlineStr">
        <is>
          <t>Cumple</t>
        </is>
      </c>
      <c r="K74" s="5" t="inlineStr">
        <is>
          <t>0.4.0</t>
        </is>
      </c>
      <c r="L74" s="5" t="inlineStr">
        <is>
          <t>Banco (node --test): 6ª elegida con un La2 sonando → +500 cents, y sin confundir la octava</t>
        </is>
      </c>
      <c r="M74" s="5" t="inlineStr">
        <is>
          <t>Pendiente</t>
        </is>
      </c>
      <c r="N74" s="5" t="inlineStr">
        <is>
          <t>Cliente</t>
        </is>
      </c>
      <c r="O74" s="5" t="inlineStr">
        <is>
          <t>Resuelve la limitación anterior. Hecho en la 0.4.0: botones Auto · 6 … 1. Con una cuerda elegida, el afinador la usa aunque suene otra nota, y un salto de octava del detector no se confunde con «baja 12 semitonos». Falta tu comprobación con la guitarra.</t>
        </is>
      </c>
      <c r="P74" s="6" t="n"/>
      <c r="Q74" s="5" t="inlineStr"/>
    </row>
    <row r="75" ht="33" customHeight="1">
      <c r="A75" s="4" t="inlineStr">
        <is>
          <t>A-06</t>
        </is>
      </c>
      <c r="B75" s="5" t="inlineStr">
        <is>
          <t>Afinador</t>
        </is>
      </c>
      <c r="C75" s="5" t="inlineStr">
        <is>
          <t>Afinación estándar (E A D G B E).</t>
        </is>
      </c>
      <c r="D75" s="5" t="inlineStr">
        <is>
          <t>Alta</t>
        </is>
      </c>
      <c r="E75" s="5" t="inlineStr">
        <is>
          <t>Cliente · listado 14/09</t>
        </is>
      </c>
      <c r="F75" s="5" t="inlineStr">
        <is>
          <t>F1</t>
        </is>
      </c>
      <c r="G75" s="5" t="inlineStr">
        <is>
          <t>F1.1</t>
        </is>
      </c>
      <c r="H75" s="5" t="inlineStr">
        <is>
          <t>I</t>
        </is>
      </c>
      <c r="I75" s="5" t="inlineStr">
        <is>
          <t>La afinación estándar es E2 A2 D3 G3 B3 E4.</t>
        </is>
      </c>
      <c r="J75" s="5" t="inlineStr">
        <is>
          <t>Cumple</t>
        </is>
      </c>
      <c r="K75" s="5" t="inlineStr">
        <is>
          <t>0.1.0</t>
        </is>
      </c>
      <c r="L75" s="5" t="inlineStr">
        <is>
          <t>F1.1 #14</t>
        </is>
      </c>
      <c r="M75" s="5" t="inlineStr">
        <is>
          <t>Pendiente</t>
        </is>
      </c>
      <c r="N75" s="5" t="inlineStr">
        <is>
          <t>Auditor de requisitos</t>
        </is>
      </c>
      <c r="O75" s="5" t="inlineStr"/>
      <c r="P75" s="6" t="n"/>
      <c r="Q75" s="5" t="inlineStr"/>
    </row>
    <row r="76" ht="48" customHeight="1">
      <c r="A76" s="4" t="inlineStr">
        <is>
          <t>A-07</t>
        </is>
      </c>
      <c r="B76" s="5" t="inlineStr">
        <is>
          <t>Afinador</t>
        </is>
      </c>
      <c r="C76" s="5" t="inlineStr">
        <is>
          <t>Cinco afinaciones alternativas predefinidas: Drop D, medio tono abajo, Open G, Open D y DADGAD.</t>
        </is>
      </c>
      <c r="D76" s="5" t="inlineStr">
        <is>
          <t>Alta</t>
        </is>
      </c>
      <c r="E76" s="5" t="inlineStr">
        <is>
          <t>Cliente · listado 14/09</t>
        </is>
      </c>
      <c r="F76" s="5" t="inlineStr">
        <is>
          <t>F1</t>
        </is>
      </c>
      <c r="G76" s="5" t="inlineStr">
        <is>
          <t>F1.1</t>
        </is>
      </c>
      <c r="H76" s="5" t="inlineStr">
        <is>
          <t>I</t>
        </is>
      </c>
      <c r="I76" s="5" t="inlineStr">
        <is>
          <t>Existen Drop D, medio tono abajo, Open G, Open D y DADGAD con sus notas correctas.</t>
        </is>
      </c>
      <c r="J76" s="5" t="inlineStr">
        <is>
          <t>Cumple</t>
        </is>
      </c>
      <c r="K76" s="5" t="inlineStr">
        <is>
          <t>0.1.0</t>
        </is>
      </c>
      <c r="L76" s="5" t="inlineStr">
        <is>
          <t>F1.1 #14</t>
        </is>
      </c>
      <c r="M76" s="5" t="inlineStr">
        <is>
          <t>Pendiente</t>
        </is>
      </c>
      <c r="N76" s="5" t="inlineStr">
        <is>
          <t>Auditor de requisitos</t>
        </is>
      </c>
      <c r="O76" s="5" t="inlineStr"/>
      <c r="P76" s="6" t="n"/>
      <c r="Q76" s="5" t="inlineStr"/>
    </row>
    <row r="77" ht="63" customHeight="1">
      <c r="A77" s="4" t="inlineStr">
        <is>
          <t>A-08</t>
        </is>
      </c>
      <c r="B77" s="5" t="inlineStr">
        <is>
          <t>Afinador</t>
        </is>
      </c>
      <c r="C77" s="5" t="inlineStr">
        <is>
          <t>Afinación personalizada ajustando cada cuerda por semitonos.</t>
        </is>
      </c>
      <c r="D77" s="5" t="inlineStr">
        <is>
          <t>Alta</t>
        </is>
      </c>
      <c r="E77" s="5" t="inlineStr">
        <is>
          <t>Cliente · listado 14/09</t>
        </is>
      </c>
      <c r="F77" s="5" t="inlineStr">
        <is>
          <t>F1</t>
        </is>
      </c>
      <c r="G77" s="5" t="inlineStr">
        <is>
          <t>F1.1</t>
        </is>
      </c>
      <c r="H77" s="5" t="inlineStr">
        <is>
          <t>D</t>
        </is>
      </c>
      <c r="I77" s="5" t="inlineStr">
        <is>
          <t>Los botones +/− mueven la cuerda un semitono y pasan a Personalizada sin alterar los presets.</t>
        </is>
      </c>
      <c r="J77" s="5" t="inlineStr">
        <is>
          <t>Cumple</t>
        </is>
      </c>
      <c r="K77" s="5" t="inlineStr">
        <is>
          <t>0.1.0</t>
        </is>
      </c>
      <c r="L77" s="5" t="inlineStr">
        <is>
          <t>F1.1 #4 · Sesión 1: A13</t>
        </is>
      </c>
      <c r="M77" s="5" t="inlineStr">
        <is>
          <t>Verificado</t>
        </is>
      </c>
      <c r="N77" s="5" t="inlineStr">
        <is>
          <t>Cliente</t>
        </is>
      </c>
      <c r="O77" s="5" t="inlineStr">
        <is>
          <t>Cualquier ajuste convierte la afinación en personalizada sin alterar los presets. Validado en la Sesión 1 (20/10, informe V-08): A13.</t>
        </is>
      </c>
      <c r="P77" s="6" t="n"/>
      <c r="Q77" s="5" t="inlineStr"/>
    </row>
    <row r="78" ht="33" customHeight="1">
      <c r="A78" s="4" t="inlineStr">
        <is>
          <t>A-09</t>
        </is>
      </c>
      <c r="B78" s="5" t="inlineStr">
        <is>
          <t>Afinador</t>
        </is>
      </c>
      <c r="C78" s="5" t="inlineStr">
        <is>
          <t>Al seleccionar una afinación se muestran sus notas en un pentagrama.</t>
        </is>
      </c>
      <c r="D78" s="5" t="inlineStr">
        <is>
          <t>Media</t>
        </is>
      </c>
      <c r="E78" s="5" t="inlineStr">
        <is>
          <t>Cliente · listado 14/09</t>
        </is>
      </c>
      <c r="F78" s="5" t="inlineStr">
        <is>
          <t>F1</t>
        </is>
      </c>
      <c r="G78" s="5" t="inlineStr">
        <is>
          <t>F1.1</t>
        </is>
      </c>
      <c r="H78" s="5" t="inlineStr">
        <is>
          <t>D</t>
        </is>
      </c>
      <c r="I78" s="5" t="inlineStr">
        <is>
          <t>El pentagrama del afinador refleja la afinación seleccionada.</t>
        </is>
      </c>
      <c r="J78" s="5" t="inlineStr">
        <is>
          <t>Cumple</t>
        </is>
      </c>
      <c r="K78" s="5" t="inlineStr">
        <is>
          <t>0.1.0</t>
        </is>
      </c>
      <c r="L78" s="5" t="inlineStr">
        <is>
          <t>F1.1 #14</t>
        </is>
      </c>
      <c r="M78" s="5" t="inlineStr">
        <is>
          <t>Pendiente</t>
        </is>
      </c>
      <c r="N78" s="5" t="inlineStr">
        <is>
          <t>Cliente</t>
        </is>
      </c>
      <c r="O78" s="5" t="inlineStr">
        <is>
          <t>Ver P-04.</t>
        </is>
      </c>
      <c r="P78" s="6" t="n"/>
      <c r="Q78" s="5" t="inlineStr"/>
    </row>
    <row r="79" ht="48" customHeight="1">
      <c r="A79" s="4" t="inlineStr">
        <is>
          <t>A-10</t>
        </is>
      </c>
      <c r="B79" s="5" t="inlineStr">
        <is>
          <t>Afinador</t>
        </is>
      </c>
      <c r="C79" s="5" t="inlineStr">
        <is>
          <t>La afinación activa se aplica también a los modos de aprendizaje.</t>
        </is>
      </c>
      <c r="D79" s="5" t="inlineStr">
        <is>
          <t>Alta</t>
        </is>
      </c>
      <c r="E79" s="5" t="inlineStr">
        <is>
          <t>Cliente · listado 14/09</t>
        </is>
      </c>
      <c r="F79" s="5" t="inlineStr">
        <is>
          <t>F1</t>
        </is>
      </c>
      <c r="G79" s="5" t="inlineStr">
        <is>
          <t>F1.1</t>
        </is>
      </c>
      <c r="H79" s="5" t="inlineStr">
        <is>
          <t>T</t>
        </is>
      </c>
      <c r="I79" s="5" t="inlineStr">
        <is>
          <t>Al cambiar de afinación, el mástil y los retos se rehacen con las nuevas notas.</t>
        </is>
      </c>
      <c r="J79" s="5" t="inlineStr">
        <is>
          <t>Cumple</t>
        </is>
      </c>
      <c r="K79" s="5" t="inlineStr">
        <is>
          <t>0.1.0</t>
        </is>
      </c>
      <c r="L79" s="5" t="inlineStr">
        <is>
          <t>Banco (node --test): Drop D</t>
        </is>
      </c>
      <c r="M79" s="5" t="inlineStr">
        <is>
          <t>Verificado parcialmente</t>
        </is>
      </c>
      <c r="N79" s="5" t="inlineStr">
        <is>
          <t>Banco automático + auditor técnico</t>
        </is>
      </c>
      <c r="O79" s="5" t="inlineStr">
        <is>
          <t>Ninguna nota está escrita a mano: todas derivan de la afinación activa, y la propagación ocurre en un único punto del código.</t>
        </is>
      </c>
      <c r="P79" s="6" t="n"/>
      <c r="Q79" s="5" t="inlineStr"/>
    </row>
    <row r="80" ht="33" customHeight="1">
      <c r="A80" s="4" t="inlineStr">
        <is>
          <t>A-11</t>
        </is>
      </c>
      <c r="B80" s="5" t="inlineStr">
        <is>
          <t>Afinador</t>
        </is>
      </c>
      <c r="C80" s="5" t="inlineStr">
        <is>
          <t>La afinación persiste entre sesiones.</t>
        </is>
      </c>
      <c r="D80" s="5" t="inlineStr">
        <is>
          <t>Media</t>
        </is>
      </c>
      <c r="E80" s="5" t="inlineStr">
        <is>
          <t>Cliente · listado 14/09</t>
        </is>
      </c>
      <c r="F80" s="5" t="inlineStr">
        <is>
          <t>F1</t>
        </is>
      </c>
      <c r="G80" s="5" t="inlineStr">
        <is>
          <t>F1.1</t>
        </is>
      </c>
      <c r="H80" s="5" t="inlineStr">
        <is>
          <t>D</t>
        </is>
      </c>
      <c r="I80" s="5" t="inlineStr">
        <is>
          <t>Tras recargar se mantiene la afinación, incluida la personalizada.</t>
        </is>
      </c>
      <c r="J80" s="5" t="inlineStr">
        <is>
          <t>Cumple</t>
        </is>
      </c>
      <c r="K80" s="5" t="inlineStr">
        <is>
          <t>0.1.0</t>
        </is>
      </c>
      <c r="L80" s="5" t="inlineStr">
        <is>
          <t>F1.1 #13</t>
        </is>
      </c>
      <c r="M80" s="5" t="inlineStr">
        <is>
          <t>Pendiente</t>
        </is>
      </c>
      <c r="N80" s="5" t="inlineStr">
        <is>
          <t>Cliente</t>
        </is>
      </c>
      <c r="O80" s="5" t="inlineStr"/>
      <c r="P80" s="6" t="n"/>
      <c r="Q80" s="5" t="inlineStr"/>
    </row>
    <row r="81" ht="120" customHeight="1">
      <c r="A81" s="4" t="inlineStr">
        <is>
          <t>V-01</t>
        </is>
      </c>
      <c r="B81" s="5" t="inlineStr">
        <is>
          <t>Visualización</t>
        </is>
      </c>
      <c r="C81" s="5" t="inlineStr">
        <is>
          <t>En móvil se sugiere la orientación horizontal con un aviso discreto; no se fuerza.</t>
        </is>
      </c>
      <c r="D81" s="5" t="inlineStr">
        <is>
          <t>Alta</t>
        </is>
      </c>
      <c r="E81" s="5" t="inlineStr">
        <is>
          <t>Cliente · 20/10 (interfaz.md v1.0)</t>
        </is>
      </c>
      <c r="F81" s="5" t="inlineStr">
        <is>
          <t>F3</t>
        </is>
      </c>
      <c r="G81" s="5" t="inlineStr">
        <is>
          <t>F3.2</t>
        </is>
      </c>
      <c r="H81" s="5" t="inlineStr">
        <is>
          <t>D</t>
        </is>
      </c>
      <c r="I81" s="5" t="inlineStr">
        <is>
          <t>En horizontal, con un alto útil de 268 px o más, cada cuerda mide al menos 40 px (iPhone en Safari e instalada; simulador de Android). En vertical, en pantallas táctiles de menos de 600 px de ancho y en Libre, Adivinar y Escalas, aparece el aviso para girar; nunca en el Afinador; cerrado, no vuelve y «Restablecer» lo recupera.</t>
        </is>
      </c>
      <c r="J81" s="5" t="inlineStr">
        <is>
          <t>Cumple</t>
        </is>
      </c>
      <c r="K81" s="5" t="inlineStr">
        <is>
          <t>0.3.0</t>
        </is>
      </c>
      <c r="L81" s="5" t="inlineStr">
        <is>
          <t>V-06: comprobar-disposicion.js en 14 pantallas: 52,8 / 60,8 / 42,5 px · Banco (node --test): aviso para girar · Sesión 1: C02, C03 y D03</t>
        </is>
      </c>
      <c r="M81" s="5" t="inlineStr">
        <is>
          <t>Verificado</t>
        </is>
      </c>
      <c r="N81" s="5" t="inlineStr">
        <is>
          <t>Cliente</t>
        </is>
      </c>
      <c r="O81" s="5" t="inlineStr">
        <is>
          <t>Hecho en la 0.3.0 según interfaz.md §7. En horizontal, raíl, mástil a todo el alto y panel: medido en Chromium, 52,8 px por cuerda en el iPhone con Safari (antes 28,8), 60,8 con la app instalada y 42,5 en un Android de 280 px de alto (V-06). El aviso para girar sale solo con el dedo, en vertical y en pantallas de menos de 600 px de ancho, en Libre y Adivinar (y Escalas desde F5), nunca en el Afinador; cerrado no vuelve y «Restablecer» lo recupera. El bloqueo de orientación tiene mal soporte en iOS, así que no se fuerza. Validado en la Sesión 1 (20/10, informe V-08): C02, C03 y D03.</t>
        </is>
      </c>
      <c r="P81" s="6" t="n"/>
      <c r="Q81" s="5" t="inlineStr"/>
    </row>
    <row r="82" ht="33" customHeight="1">
      <c r="A82" s="4" t="inlineStr">
        <is>
          <t>V-02</t>
        </is>
      </c>
      <c r="B82" s="5" t="inlineStr">
        <is>
          <t>Visualización</t>
        </is>
      </c>
      <c r="C82" s="5" t="inlineStr">
        <is>
          <t>El afinador funciona en vertical y en horizontal.</t>
        </is>
      </c>
      <c r="D82" s="5" t="inlineStr">
        <is>
          <t>Alta</t>
        </is>
      </c>
      <c r="E82" s="5" t="inlineStr">
        <is>
          <t>Cliente · listado 14/09</t>
        </is>
      </c>
      <c r="F82" s="5" t="inlineStr">
        <is>
          <t>F1</t>
        </is>
      </c>
      <c r="G82" s="5" t="inlineStr">
        <is>
          <t>F1.1</t>
        </is>
      </c>
      <c r="H82" s="5" t="inlineStr">
        <is>
          <t>D</t>
        </is>
      </c>
      <c r="I82" s="5" t="inlineStr">
        <is>
          <t>El afinador se usa con comodidad en vertical y en horizontal.</t>
        </is>
      </c>
      <c r="J82" s="5" t="inlineStr">
        <is>
          <t>Cumple</t>
        </is>
      </c>
      <c r="K82" s="5" t="inlineStr">
        <is>
          <t>0.1.0</t>
        </is>
      </c>
      <c r="L82" s="5" t="inlineStr">
        <is>
          <t>F1.1 #14</t>
        </is>
      </c>
      <c r="M82" s="5" t="inlineStr">
        <is>
          <t>Pendiente</t>
        </is>
      </c>
      <c r="N82" s="5" t="inlineStr">
        <is>
          <t>Cliente</t>
        </is>
      </c>
      <c r="O82" s="5" t="inlineStr"/>
      <c r="P82" s="6" t="n"/>
      <c r="Q82" s="5" t="inlineStr"/>
    </row>
    <row r="83" ht="33" customHeight="1">
      <c r="A83" s="4" t="inlineStr">
        <is>
          <t>V-03</t>
        </is>
      </c>
      <c r="B83" s="5" t="inlineStr">
        <is>
          <t>Visualización</t>
        </is>
      </c>
      <c r="C83" s="5" t="inlineStr">
        <is>
          <t>En escritorio el mástil aprovecha el ancho disponible.</t>
        </is>
      </c>
      <c r="D83" s="5" t="inlineStr">
        <is>
          <t>Alta</t>
        </is>
      </c>
      <c r="E83" s="5" t="inlineStr">
        <is>
          <t>Cliente · listado 14/09</t>
        </is>
      </c>
      <c r="F83" s="5" t="inlineStr">
        <is>
          <t>F1</t>
        </is>
      </c>
      <c r="G83" s="5" t="inlineStr">
        <is>
          <t>F1.1</t>
        </is>
      </c>
      <c r="H83" s="5" t="inlineStr">
        <is>
          <t>D</t>
        </is>
      </c>
      <c r="I83" s="5" t="inlineStr">
        <is>
          <t>En una pantalla de 1280 px se ven los 24 trastes sin desplazarse.</t>
        </is>
      </c>
      <c r="J83" s="5" t="inlineStr">
        <is>
          <t>Cumple</t>
        </is>
      </c>
      <c r="K83" s="5" t="inlineStr">
        <is>
          <t>0.1.0</t>
        </is>
      </c>
      <c r="L83" s="5" t="inlineStr">
        <is>
          <t>F1.1 #14</t>
        </is>
      </c>
      <c r="M83" s="5" t="inlineStr">
        <is>
          <t>Pendiente</t>
        </is>
      </c>
      <c r="N83" s="5" t="inlineStr">
        <is>
          <t>Cliente</t>
        </is>
      </c>
      <c r="O83" s="5" t="inlineStr">
        <is>
          <t>Arranca mostrando el mástil completo en pantallas anchas.</t>
        </is>
      </c>
      <c r="P83" s="6" t="n"/>
      <c r="Q83" s="5" t="inlineStr"/>
    </row>
    <row r="84" ht="120" customHeight="1">
      <c r="A84" s="4" t="inlineStr">
        <is>
          <t>V-04</t>
        </is>
      </c>
      <c r="B84" s="5" t="inlineStr">
        <is>
          <t>Visualización</t>
        </is>
      </c>
      <c r="C84" s="5" t="inlineStr">
        <is>
          <t>Control de zoom que determina qué porción del mástil se ve.</t>
        </is>
      </c>
      <c r="D84" s="5" t="inlineStr">
        <is>
          <t>Alta</t>
        </is>
      </c>
      <c r="E84" s="5" t="inlineStr">
        <is>
          <t>Cliente · 20/10 (interfaz.md v1.0)</t>
        </is>
      </c>
      <c r="F84" s="5" t="inlineStr">
        <is>
          <t>F1 · F3</t>
        </is>
      </c>
      <c r="G84" s="5" t="inlineStr">
        <is>
          <t>F1.1 · F3.2</t>
        </is>
      </c>
      <c r="H84" s="5" t="inlineStr">
        <is>
          <t>D</t>
        </is>
      </c>
      <c r="I84" s="5" t="inlineStr">
        <is>
          <t>El zoom cambia los trastes visibles entre 3 y el máximo que cabe, y la etiqueta dice la cifra real; «+» enseña más trastes y «−» menos. Con pointer: coarse, la vista por defecto usa trastes de al menos 40 px y el usuario puede pedir más trastes, de hasta 28 px; si el zoom guardado pide más de los que caben, se muestran los que caben y lo guardado se conserva (V-08).</t>
        </is>
      </c>
      <c r="J84" s="5" t="inlineStr">
        <is>
          <t>Cumple</t>
        </is>
      </c>
      <c r="K84" s="5" t="inlineStr">
        <is>
          <t>0.1.0</t>
        </is>
      </c>
      <c r="L84" s="5" t="inlineStr">
        <is>
          <t>F1.1 #7 y #8 · V-06 · Banco (node --test): 40 px por defecto, 28 con «+», orden de los botones · Sesión 1: A07, A08 y C04</t>
        </is>
      </c>
      <c r="M84" s="5" t="inlineStr">
        <is>
          <t>Verificado</t>
        </is>
      </c>
      <c r="N84" s="5" t="inlineStr">
        <is>
          <t>Cliente</t>
        </is>
      </c>
      <c r="O84" s="5" t="inlineStr">
        <is>
          <t>De 3 a 24 trastes a la vista. Desde 0.1.1 la etiqueta indica los trastes que caben de verdad, y el zoom conserva el tramo que estabas mirando. Desde la 0.3.0, con el dedo la vista por defecto usa trastes de 40 px o más (34 con ratón), y la cejuela mide 40. Desde la 0.3.2 (tu comentario del 20/10), «+» enseña más trastes y «−» menos, y con el dedo puedes pedir trastes de hasta 28 px: en el iPhone con Safari, hasta 11 a la vista en vertical y 15 en horizontal. Si el zoom guardado pide más, se muestran los que caben y la etiqueta lo dice, pero lo guardado se conserva para que al girar vuelva (V-08). Validado en la Sesión 1 (20/10, informe V-08): A07, A08 y C04.</t>
        </is>
      </c>
      <c r="P84" s="6" t="n"/>
      <c r="Q84" s="5" t="inlineStr"/>
    </row>
    <row r="85" ht="33" customHeight="1">
      <c r="A85" s="4" t="inlineStr">
        <is>
          <t>V-05</t>
        </is>
      </c>
      <c r="B85" s="5" t="inlineStr">
        <is>
          <t>Visualización</t>
        </is>
      </c>
      <c r="C85" s="5" t="inlineStr">
        <is>
          <t>Cuando el mástil no cabe, el usuario se desplaza lateralmente.</t>
        </is>
      </c>
      <c r="D85" s="5" t="inlineStr">
        <is>
          <t>Alta</t>
        </is>
      </c>
      <c r="E85" s="5" t="inlineStr">
        <is>
          <t>Cliente · listado 14/09</t>
        </is>
      </c>
      <c r="F85" s="5" t="inlineStr">
        <is>
          <t>F1</t>
        </is>
      </c>
      <c r="G85" s="5" t="inlineStr">
        <is>
          <t>F1.1</t>
        </is>
      </c>
      <c r="H85" s="5" t="inlineStr">
        <is>
          <t>D</t>
        </is>
      </c>
      <c r="I85" s="5" t="inlineStr">
        <is>
          <t>Con el mástil más ancho que la pantalla se puede desplazar hasta el traste 24.</t>
        </is>
      </c>
      <c r="J85" s="5" t="inlineStr">
        <is>
          <t>Cumple</t>
        </is>
      </c>
      <c r="K85" s="5" t="inlineStr">
        <is>
          <t>0.1.0 **Validado en la Sesión 1** (20/10, informe `V-08`): A08.</t>
        </is>
      </c>
      <c r="L85" s="5" t="inlineStr">
        <is>
          <t>F1.1 #14 · Sesión 1: A08</t>
        </is>
      </c>
      <c r="M85" s="5" t="inlineStr">
        <is>
          <t>Verificado</t>
        </is>
      </c>
      <c r="N85" s="5" t="inlineStr">
        <is>
          <t>Cliente</t>
        </is>
      </c>
      <c r="O85" s="5" t="inlineStr"/>
      <c r="P85" s="6" t="n"/>
      <c r="Q85" s="5" t="inlineStr"/>
    </row>
    <row r="86" ht="48" customHeight="1">
      <c r="A86" s="4" t="inlineStr">
        <is>
          <t>V-06</t>
        </is>
      </c>
      <c r="B86" s="5" t="inlineStr">
        <is>
          <t>Visualización</t>
        </is>
      </c>
      <c r="C86" s="5" t="inlineStr">
        <is>
          <t>El ancho de traste no cambia al desplazarse: el zoom fija el tamaño y el desplazamiento mueve la ventana.</t>
        </is>
      </c>
      <c r="D86" s="5" t="inlineStr">
        <is>
          <t>Alta</t>
        </is>
      </c>
      <c r="E86" s="5" t="inlineStr">
        <is>
          <t>Cliente · listado 14/09</t>
        </is>
      </c>
      <c r="F86" s="5" t="inlineStr">
        <is>
          <t>F1</t>
        </is>
      </c>
      <c r="G86" s="5" t="inlineStr">
        <is>
          <t>F1.1</t>
        </is>
      </c>
      <c r="H86" s="5" t="inlineStr">
        <is>
          <t>D</t>
        </is>
      </c>
      <c r="I86" s="5" t="inlineStr">
        <is>
          <t>Desplazarse no cambia el ancho de los trastes.</t>
        </is>
      </c>
      <c r="J86" s="5" t="inlineStr">
        <is>
          <t>Cumple</t>
        </is>
      </c>
      <c r="K86" s="5" t="inlineStr">
        <is>
          <t>0.1.0 **Validado en la Sesión 1** (20/10, informe `V-08`): A07.</t>
        </is>
      </c>
      <c r="L86" s="5" t="inlineStr">
        <is>
          <t>F1.1 #7 · Sesión 1: A07</t>
        </is>
      </c>
      <c r="M86" s="5" t="inlineStr">
        <is>
          <t>Verificado</t>
        </is>
      </c>
      <c r="N86" s="5" t="inlineStr">
        <is>
          <t>Cliente</t>
        </is>
      </c>
      <c r="O86" s="5" t="inlineStr"/>
      <c r="P86" s="6" t="n"/>
      <c r="Q86" s="5" t="inlineStr"/>
    </row>
    <row r="87" ht="33" customHeight="1">
      <c r="A87" s="4" t="inlineStr">
        <is>
          <t>V-07</t>
        </is>
      </c>
      <c r="B87" s="5" t="inlineStr">
        <is>
          <t>Visualización</t>
        </is>
      </c>
      <c r="C87" s="5" t="inlineStr">
        <is>
          <t>El mástil se readapta al redimensionar la ventana.</t>
        </is>
      </c>
      <c r="D87" s="5" t="inlineStr">
        <is>
          <t>Alta</t>
        </is>
      </c>
      <c r="E87" s="5" t="inlineStr">
        <is>
          <t>Cliente · listado 14/09</t>
        </is>
      </c>
      <c r="F87" s="5" t="inlineStr">
        <is>
          <t>F1</t>
        </is>
      </c>
      <c r="G87" s="5" t="inlineStr">
        <is>
          <t>F1.1</t>
        </is>
      </c>
      <c r="H87" s="5" t="inlineStr">
        <is>
          <t>D</t>
        </is>
      </c>
      <c r="I87" s="5" t="inlineStr">
        <is>
          <t>Al redimensionar la ventana el mástil se reajusta sin perder el tramo visible.</t>
        </is>
      </c>
      <c r="J87" s="5" t="inlineStr">
        <is>
          <t>Cumple</t>
        </is>
      </c>
      <c r="K87" s="5" t="inlineStr">
        <is>
          <t>0.1.0 **Validado en la Sesión 1** (20/10, informe `V-08`): A08.</t>
        </is>
      </c>
      <c r="L87" s="5" t="inlineStr">
        <is>
          <t>F1.1 #7 · Sesión 1: A08</t>
        </is>
      </c>
      <c r="M87" s="5" t="inlineStr">
        <is>
          <t>Verificado</t>
        </is>
      </c>
      <c r="N87" s="5" t="inlineStr">
        <is>
          <t>Cliente</t>
        </is>
      </c>
      <c r="O87" s="5" t="inlineStr"/>
      <c r="P87" s="6" t="n"/>
      <c r="Q87" s="5" t="inlineStr"/>
    </row>
    <row r="88" ht="33" customHeight="1">
      <c r="A88" s="4" t="inlineStr">
        <is>
          <t>V-08</t>
        </is>
      </c>
      <c r="B88" s="5" t="inlineStr">
        <is>
          <t>Visualización</t>
        </is>
      </c>
      <c r="C88" s="5" t="inlineStr">
        <is>
          <t>El nivel de zoom persiste entre sesiones.</t>
        </is>
      </c>
      <c r="D88" s="5" t="inlineStr">
        <is>
          <t>Baja</t>
        </is>
      </c>
      <c r="E88" s="5" t="inlineStr">
        <is>
          <t>Cliente · listado 14/09</t>
        </is>
      </c>
      <c r="F88" s="5" t="inlineStr">
        <is>
          <t>F1</t>
        </is>
      </c>
      <c r="G88" s="5" t="inlineStr">
        <is>
          <t>F1.1</t>
        </is>
      </c>
      <c r="H88" s="5" t="inlineStr">
        <is>
          <t>D</t>
        </is>
      </c>
      <c r="I88" s="5" t="inlineStr">
        <is>
          <t>El zoom se mantiene tras recargar y tras girar el móvil.</t>
        </is>
      </c>
      <c r="J88" s="5" t="inlineStr">
        <is>
          <t>Cumple</t>
        </is>
      </c>
      <c r="K88" s="5" t="inlineStr">
        <is>
          <t>0.1.0</t>
        </is>
      </c>
      <c r="L88" s="5" t="inlineStr">
        <is>
          <t>F1.1 #13</t>
        </is>
      </c>
      <c r="M88" s="5" t="inlineStr">
        <is>
          <t>Pendiente</t>
        </is>
      </c>
      <c r="N88" s="5" t="inlineStr">
        <is>
          <t>Cliente</t>
        </is>
      </c>
      <c r="O88" s="5" t="inlineStr">
        <is>
          <t>Desde 0.1.1 girar el móvil ya no pisa el zoom elegido.</t>
        </is>
      </c>
      <c r="P88" s="6" t="n"/>
      <c r="Q88" s="5" t="inlineStr"/>
    </row>
    <row r="89" ht="63" customHeight="1">
      <c r="A89" s="4" t="inlineStr">
        <is>
          <t>V-09</t>
        </is>
      </c>
      <c r="B89" s="5" t="inlineStr">
        <is>
          <t>Visualización</t>
        </is>
      </c>
      <c r="C89" s="5" t="inlineStr">
        <is>
          <t>Al ocultar la numeración se puede conservar una referencia de tramo: el modo «Guía» deja solo los números de los trastes con marca.</t>
        </is>
      </c>
      <c r="D89" s="5" t="inlineStr">
        <is>
          <t>Media</t>
        </is>
      </c>
      <c r="E89" s="5" t="inlineStr">
        <is>
          <t>AR-01</t>
        </is>
      </c>
      <c r="F89" s="5" t="inlineStr">
        <is>
          <t>F1</t>
        </is>
      </c>
      <c r="G89" s="5" t="inlineStr">
        <is>
          <t>F1.3</t>
        </is>
      </c>
      <c r="H89" s="5" t="inlineStr">
        <is>
          <t>T</t>
        </is>
      </c>
      <c r="I89" s="5" t="inlineStr">
        <is>
          <t>El modo Guía mantiene visibles solo los números de los trastes con marca.</t>
        </is>
      </c>
      <c r="J89" s="5" t="inlineStr">
        <is>
          <t>Cumple</t>
        </is>
      </c>
      <c r="K89" s="5" t="inlineStr">
        <is>
          <t>0.1.2</t>
        </is>
      </c>
      <c r="L89" s="5" t="inlineStr">
        <is>
          <t>Banco (node --test) · F1.1 #11 · Sesión 1: A11</t>
        </is>
      </c>
      <c r="M89" s="5" t="inlineStr">
        <is>
          <t>Verificado</t>
        </is>
      </c>
      <c r="N89" s="5" t="inlineStr">
        <is>
          <t>Banco automático + auditor técnico</t>
        </is>
      </c>
      <c r="O89" s="5" t="inlineStr">
        <is>
          <t>Sin números, los trastes 5 y 17 llevan la misma marca y se confunden. Se descartó el minimapa por desproporcionado. Validado en la Sesión 1 (20/10, informe V-08): A11.</t>
        </is>
      </c>
      <c r="P89" s="6" t="n"/>
      <c r="Q89" s="5" t="inlineStr"/>
    </row>
    <row r="90" ht="108" customHeight="1">
      <c r="A90" s="4" t="inlineStr">
        <is>
          <t>C-01</t>
        </is>
      </c>
      <c r="B90" s="5" t="inlineStr">
        <is>
          <t>Configuración y navegación</t>
        </is>
      </c>
      <c r="C90" s="5" t="inlineStr">
        <is>
          <t>Menú de configuración accesible desde cualquier pantalla.</t>
        </is>
      </c>
      <c r="D90" s="5" t="inlineStr">
        <is>
          <t>Alta</t>
        </is>
      </c>
      <c r="E90" s="5" t="inlineStr">
        <is>
          <t>Cliente · listado 14/09</t>
        </is>
      </c>
      <c r="F90" s="5" t="inlineStr">
        <is>
          <t>F1</t>
        </is>
      </c>
      <c r="G90" s="5" t="inlineStr">
        <is>
          <t>F1.1</t>
        </is>
      </c>
      <c r="H90" s="5" t="inlineStr">
        <is>
          <t>D</t>
        </is>
      </c>
      <c r="I90" s="5" t="inlineStr">
        <is>
          <t>El botón de Ajustes abre el panel desde cualquier pantalla y Escape lo cierra.</t>
        </is>
      </c>
      <c r="J90" s="5" t="inlineStr">
        <is>
          <t>Cumple</t>
        </is>
      </c>
      <c r="K90" s="5" t="inlineStr">
        <is>
          <t>0.1.0</t>
        </is>
      </c>
      <c r="L90" s="5" t="inlineStr">
        <is>
          <t>F1.1 #14 · Sesión 1: A19 y C05</t>
        </is>
      </c>
      <c r="M90" s="5" t="inlineStr">
        <is>
          <t>Verificado</t>
        </is>
      </c>
      <c r="N90" s="5" t="inlineStr">
        <is>
          <t>Cliente</t>
        </is>
      </c>
      <c r="O90" s="5" t="inlineStr">
        <is>
          <t>Hoja que sube desde abajo en vertical; panel lateral en horizontal y en pantallas amplias, con un segundo botón en el raíl (0.3.0). Es un diálogo: mientras está abierto, el resto de la página no responde (AT-04). Validado en la Sesión 1 (20/10, informe V-08): A19 y C05.</t>
        </is>
      </c>
      <c r="P90" s="6" t="n"/>
      <c r="Q90" s="5" t="inlineStr"/>
    </row>
    <row r="91" ht="108" customHeight="1">
      <c r="A91" s="4" t="inlineStr">
        <is>
          <t>C-02</t>
        </is>
      </c>
      <c r="B91" s="5" t="inlineStr">
        <is>
          <t>Configuración y navegación</t>
        </is>
      </c>
      <c r="C91" s="5" t="inlineStr">
        <is>
          <t>El menú contiene nomenclatura, pentagrama, timbre, numeración de trastes (tres modos), ver todas las notas, señalar iguales y afinación activa, y muestra la versión de la app.</t>
        </is>
      </c>
      <c r="D91" s="5" t="inlineStr">
        <is>
          <t>Alta</t>
        </is>
      </c>
      <c r="E91" s="5" t="inlineStr">
        <is>
          <t>Cliente · listado 14/09</t>
        </is>
      </c>
      <c r="F91" s="5" t="inlineStr">
        <is>
          <t>F1</t>
        </is>
      </c>
      <c r="G91" s="5" t="inlineStr">
        <is>
          <t>F1.1</t>
        </is>
      </c>
      <c r="H91" s="5" t="inlineStr">
        <is>
          <t>I</t>
        </is>
      </c>
      <c r="I91" s="5" t="inlineStr">
        <is>
          <t>El panel contiene todos los ajustes listados, el idioma (0.4.2) y la versión de la app.</t>
        </is>
      </c>
      <c r="J91" s="5" t="inlineStr">
        <is>
          <t>Cumple</t>
        </is>
      </c>
      <c r="K91" s="5" t="inlineStr">
        <is>
          <t>0.1.0</t>
        </is>
      </c>
      <c r="L91" s="5" t="inlineStr">
        <is>
          <t>F1.1 #12 · Banco (node --test): grupo Idioma</t>
        </is>
      </c>
      <c r="M91" s="5" t="inlineStr">
        <is>
          <t>Pendiente</t>
        </is>
      </c>
      <c r="N91" s="5" t="inlineStr">
        <is>
          <t>Auditor de requisitos</t>
        </is>
      </c>
      <c r="O91" s="5" t="inlineStr">
        <is>
          <t>Ampliado en 0.1.2 con la numeración en tres modos y la versión (G-10). En F6.4 se añade el grupo «Acerca de», con los créditos (G-06) y la privacidad (G-11) (interfaz.md v1.0, aprobada el 20/10). Desde la 0.4.2, Ajustes empieza con el grupo «Idioma · Language» (G-12).</t>
        </is>
      </c>
      <c r="P91" s="6" t="n"/>
      <c r="Q91" s="5" t="inlineStr"/>
    </row>
    <row r="92" ht="78" customHeight="1">
      <c r="A92" s="4" t="inlineStr">
        <is>
          <t>C-03</t>
        </is>
      </c>
      <c r="B92" s="5" t="inlineStr">
        <is>
          <t>Configuración y navegación</t>
        </is>
      </c>
      <c r="C92" s="5" t="inlineStr">
        <is>
          <t>Los ajustes frecuentes tienen acceso rápido sin abrir el menú.</t>
        </is>
      </c>
      <c r="D92" s="5" t="inlineStr">
        <is>
          <t>Alta</t>
        </is>
      </c>
      <c r="E92" s="5" t="inlineStr">
        <is>
          <t>Cliente · listado 14/09</t>
        </is>
      </c>
      <c r="F92" s="5" t="inlineStr">
        <is>
          <t>F1</t>
        </is>
      </c>
      <c r="G92" s="5" t="inlineStr">
        <is>
          <t>F1.1</t>
        </is>
      </c>
      <c r="H92" s="5" t="inlineStr">
        <is>
          <t>D</t>
        </is>
      </c>
      <c r="I92" s="5" t="inlineStr">
        <is>
          <t>Nomenclatura, pentagrama y pistas tienen chips de acceso rápido.</t>
        </is>
      </c>
      <c r="J92" s="5" t="inlineStr">
        <is>
          <t>Cumple</t>
        </is>
      </c>
      <c r="K92" s="5" t="inlineStr">
        <is>
          <t>0.1.0</t>
        </is>
      </c>
      <c r="L92" s="5" t="inlineStr">
        <is>
          <t>F1.1 #14</t>
        </is>
      </c>
      <c r="M92" s="5" t="inlineStr">
        <is>
          <t>Pendiente</t>
        </is>
      </c>
      <c r="N92" s="5" t="inlineStr">
        <is>
          <t>Cliente</t>
        </is>
      </c>
      <c r="O92" s="5" t="inlineStr">
        <is>
          <t>Nomenclatura y pentagrama en chips bajo la cabecera, o en el panel en horizontal, donde el pentagrama se rotula con la clave de sol; las dos pistas del juego, en la tarjeta del reto (0.3.0).</t>
        </is>
      </c>
      <c r="P92" s="6" t="n"/>
      <c r="Q92" s="5" t="inlineStr"/>
    </row>
    <row r="93" ht="93" customHeight="1">
      <c r="A93" s="4" t="inlineStr">
        <is>
          <t>C-04</t>
        </is>
      </c>
      <c r="B93" s="5" t="inlineStr">
        <is>
          <t>Configuración y navegación</t>
        </is>
      </c>
      <c r="C93" s="5" t="inlineStr">
        <is>
          <t>Navegación principal clara entre las áreas de la app.</t>
        </is>
      </c>
      <c r="D93" s="5" t="inlineStr">
        <is>
          <t>Alta</t>
        </is>
      </c>
      <c r="E93" s="5" t="inlineStr">
        <is>
          <t>Cliente · 20/10 (interfaz.md v1.0)</t>
        </is>
      </c>
      <c r="F93" s="5" t="inlineStr">
        <is>
          <t>F1</t>
        </is>
      </c>
      <c r="G93" s="5" t="inlineStr">
        <is>
          <t>F1.1</t>
        </is>
      </c>
      <c r="H93" s="5" t="inlineStr">
        <is>
          <t>D</t>
        </is>
      </c>
      <c r="I93" s="5" t="inlineStr">
        <is>
          <t>La navegación (barra inferior, raíl o pestañas en la cabecera, según la disposición) lleva a cada área con un toque.</t>
        </is>
      </c>
      <c r="J93" s="5" t="inlineStr">
        <is>
          <t>Cumple</t>
        </is>
      </c>
      <c r="K93" s="5" t="inlineStr">
        <is>
          <t>0.1.0</t>
        </is>
      </c>
      <c r="L93" s="5" t="inlineStr">
        <is>
          <t>F1.1 #14 · Sesión 1: A19</t>
        </is>
      </c>
      <c r="M93" s="5" t="inlineStr">
        <is>
          <t>Verificado</t>
        </is>
      </c>
      <c r="N93" s="5" t="inlineStr">
        <is>
          <t>Cliente</t>
        </is>
      </c>
      <c r="O93" s="5" t="inlineStr">
        <is>
          <t>Barra inferior con cuatro destinos en vertical, raíl a la izquierda en horizontal y pestañas en la cabecera en pantallas amplias (0.3.0). En pantallas bajas la barra nunca se sale (AR-05). Validado en la Sesión 1 (20/10, informe V-08): A19.</t>
        </is>
      </c>
      <c r="P93" s="6" t="n"/>
      <c r="Q93" s="5" t="inlineStr"/>
    </row>
    <row r="94" ht="48" customHeight="1">
      <c r="A94" s="4" t="inlineStr">
        <is>
          <t>C-05</t>
        </is>
      </c>
      <c r="B94" s="5" t="inlineStr">
        <is>
          <t>Configuración y navegación</t>
        </is>
      </c>
      <c r="C94" s="5" t="inlineStr">
        <is>
          <t>Todos los ajustes persisten entre sesiones.</t>
        </is>
      </c>
      <c r="D94" s="5" t="inlineStr">
        <is>
          <t>Media</t>
        </is>
      </c>
      <c r="E94" s="5" t="inlineStr">
        <is>
          <t>Cliente · listado 14/09</t>
        </is>
      </c>
      <c r="F94" s="5" t="inlineStr">
        <is>
          <t>F1</t>
        </is>
      </c>
      <c r="G94" s="5" t="inlineStr">
        <is>
          <t>F1.1</t>
        </is>
      </c>
      <c r="H94" s="5" t="inlineStr">
        <is>
          <t>T</t>
        </is>
      </c>
      <c r="I94" s="5" t="inlineStr">
        <is>
          <t>Todos los ajustes persisten tras recargar, y unos ajustes corruptos o antiguos no rompen la app.</t>
        </is>
      </c>
      <c r="J94" s="5" t="inlineStr">
        <is>
          <t>Cumple</t>
        </is>
      </c>
      <c r="K94" s="5" t="inlineStr">
        <is>
          <t>0.1.0</t>
        </is>
      </c>
      <c r="L94" s="5" t="inlineStr">
        <is>
          <t>Banco (node --test): migración · F1.1 #13 · Sesión 1: A14 y A15</t>
        </is>
      </c>
      <c r="M94" s="5" t="inlineStr">
        <is>
          <t>Verificado</t>
        </is>
      </c>
      <c r="N94" s="5" t="inlineStr">
        <is>
          <t>Banco automático + auditor técnico</t>
        </is>
      </c>
      <c r="O94" s="5" t="inlineStr">
        <is>
          <t>Un único objeto de estado, validado campo a campo al leerlo (0.1.1). Validado en la Sesión 1 (20/10, informe V-08): A14 y A15.</t>
        </is>
      </c>
      <c r="P94" s="6" t="n"/>
      <c r="Q94" s="5" t="inlineStr"/>
    </row>
    <row r="95" ht="93" customHeight="1">
      <c r="A95" s="4" t="inlineStr">
        <is>
          <t>C-06</t>
        </is>
      </c>
      <c r="B95" s="5" t="inlineStr">
        <is>
          <t>Configuración y navegación</t>
        </is>
      </c>
      <c r="C95" s="5" t="inlineStr">
        <is>
          <t>Especificación detallada de la interfaz: estructura de menús, jerarquía de controles y flujos de navegación.</t>
        </is>
      </c>
      <c r="D95" s="5" t="inlineStr">
        <is>
          <t>Alta</t>
        </is>
      </c>
      <c r="E95" s="5" t="inlineStr">
        <is>
          <t>Cliente · listado 14/09</t>
        </is>
      </c>
      <c r="F95" s="5" t="inlineStr">
        <is>
          <t>F3</t>
        </is>
      </c>
      <c r="G95" s="5" t="inlineStr">
        <is>
          <t>F3.1</t>
        </is>
      </c>
      <c r="H95" s="5" t="inlineStr">
        <is>
          <t>I</t>
        </is>
      </c>
      <c r="I95" s="5" t="inlineStr">
        <is>
          <t>interfaz.md aprobado por el cliente y revisado por el auditor de requisitos.</t>
        </is>
      </c>
      <c r="J95" s="5" t="inlineStr">
        <is>
          <t>Cumple</t>
        </is>
      </c>
      <c r="K95" s="5" t="inlineStr">
        <is>
          <t>0.2.3</t>
        </is>
      </c>
      <c r="L95" s="5" t="inlineStr">
        <is>
          <t>interfaz.md v1.0 · AR-04 · aprobación del cliente el 20/10</t>
        </is>
      </c>
      <c r="M95" s="5" t="inlineStr">
        <is>
          <t>Verificado</t>
        </is>
      </c>
      <c r="N95" s="5" t="inlineStr">
        <is>
          <t>Auditor de requisitos</t>
        </is>
      </c>
      <c r="O95" s="5" t="inlineStr">
        <is>
          <t>docs/interfaz.md v1.0, aprobada por ti el 20/10 tras la auditoría AR-04 (10 hallazgos resueltos). Bocetos al tamaño real de cada pantalla en docs/interfaz/, comprobados por herramientas/capturar-wireframes.js. Los cambios posteriores suben su versión.</t>
        </is>
      </c>
      <c r="P95" s="6" t="n"/>
      <c r="Q95" s="5" t="inlineStr"/>
    </row>
    <row r="96" ht="120" customHeight="1">
      <c r="A96" s="4" t="inlineStr">
        <is>
          <t>C-07</t>
        </is>
      </c>
      <c r="B96" s="5" t="inlineStr">
        <is>
          <t>Configuración y navegación</t>
        </is>
      </c>
      <c r="C96" s="5" t="inlineStr">
        <is>
          <t>Botón «atrás» del sistema: mientras haya un paso anterior en la sesión, el botón o gesto «atrás» cierra Ajustes o vuelve al área anterior; desde la primera área actúa el sistema. Al abrir la app se entra en Libre.</t>
        </is>
      </c>
      <c r="D96" s="5" t="inlineStr">
        <is>
          <t>Media</t>
        </is>
      </c>
      <c r="E96" s="5" t="inlineStr">
        <is>
          <t>Cliente · 20/10 (interfaz.md v1.0)</t>
        </is>
      </c>
      <c r="F96" s="5" t="inlineStr">
        <is>
          <t>F3</t>
        </is>
      </c>
      <c r="G96" s="5" t="inlineStr">
        <is>
          <t>F3.2</t>
        </is>
      </c>
      <c r="H96" s="5" t="inlineStr">
        <is>
          <t>D</t>
        </is>
      </c>
      <c r="I96" s="5" t="inlineStr">
        <is>
          <t>Con un paso anterior en la sesión, «atrás» cierra Ajustes o vuelve al área anterior; desde la primera área actúa el sistema; al abrir o recargar se entra en Libre. Prueba manual en Windows y en el simulador de Android de Chrome.</t>
        </is>
      </c>
      <c r="J96" s="5" t="inlineStr">
        <is>
          <t>Cumple</t>
        </is>
      </c>
      <c r="K96" s="5" t="inlineStr">
        <is>
          <t>0.3.0</t>
        </is>
      </c>
      <c r="L96" s="5" t="inlineStr">
        <is>
          <t>Banco (node --test): historial simulado con popstate (3 pruebas) · Sesión 1: A17</t>
        </is>
      </c>
      <c r="M96" s="5" t="inlineStr">
        <is>
          <t>Verificado</t>
        </is>
      </c>
      <c r="N96" s="5" t="inlineStr">
        <is>
          <t>Cliente</t>
        </is>
      </c>
      <c r="O96" s="5" t="inlineStr">
        <is>
          <t>Hecho en la 0.3.0 con el historial del navegador (history): cada área tiene su dirección (#libre, #adivinar…). Un paso que deja la misma área, como tras recargar, se salta. El banco lo prueba con un historial simulado que avisa como el de verdad. Falta la prueba a mano en Windows y en el simulador de Android (Sesión 1). En el iPhone instalado no hay botón atrás. Validado en la Sesión 1 (20/10, informe V-08): A17.</t>
        </is>
      </c>
      <c r="P96" s="6" t="n"/>
      <c r="Q96" s="5" t="inlineStr"/>
    </row>
    <row r="97" ht="93" customHeight="1">
      <c r="A97" s="4" t="inlineStr">
        <is>
          <t>C-08</t>
        </is>
      </c>
      <c r="B97" s="5" t="inlineStr">
        <is>
          <t>Configuración y navegación</t>
        </is>
      </c>
      <c r="C97" s="5" t="inlineStr">
        <is>
          <t>Menú Personalización dentro de Ajustes: estilos de nota en el mástil (círculo de color o solo el nombre, más grande o en negrita), estilo del traste y del mástil, interior claro para «Ver todas las notas» y temas de color de la app.</t>
        </is>
      </c>
      <c r="D97" s="5" t="inlineStr">
        <is>
          <t>Media</t>
        </is>
      </c>
      <c r="E97" s="5" t="inlineStr">
        <is>
          <t>Cliente · listado 14/09</t>
        </is>
      </c>
      <c r="F97" s="5" t="inlineStr">
        <is>
          <t>Posterior</t>
        </is>
      </c>
      <c r="G97" s="5" t="inlineStr">
        <is>
          <t>Posterior</t>
        </is>
      </c>
      <c r="H97" s="5" t="inlineStr">
        <is>
          <t>N/A</t>
        </is>
      </c>
      <c r="I97" s="5" t="inlineStr">
        <is>
          <t>Fuera del alcance actual.</t>
        </is>
      </c>
      <c r="J97" s="5" t="inlineStr">
        <is>
          <t>No aplica</t>
        </is>
      </c>
      <c r="K97" s="5" t="inlineStr">
        <is>
          <t>—</t>
        </is>
      </c>
      <c r="L97" s="5" t="inlineStr">
        <is>
          <t>—</t>
        </is>
      </c>
      <c r="M97" s="5" t="inlineStr">
        <is>
          <t>No aplica</t>
        </is>
      </c>
      <c r="N97" s="5" t="inlineStr">
        <is>
          <t>—</t>
        </is>
      </c>
      <c r="O97" s="5" t="inlineStr">
        <is>
          <t>Tus comentarios de la Sesión 1 (A10, C06 y E06), para una actualización posterior. La paleta por nota de G-05 se mantiene como punto de partida.</t>
        </is>
      </c>
      <c r="P97" s="6" t="n"/>
      <c r="Q97" s="5" t="inlineStr"/>
    </row>
    <row r="98" ht="78" customHeight="1">
      <c r="A98" s="4" t="inlineStr">
        <is>
          <t>X-01</t>
        </is>
      </c>
      <c r="B98" s="5" t="inlineStr">
        <is>
          <t>Respaldo y publicación</t>
        </is>
      </c>
      <c r="C98" s="5" t="inlineStr">
        <is>
          <t>El código y la documentación están respaldados en el repositorio remoto (GitHub). Respaldar no es publicar.</t>
        </is>
      </c>
      <c r="D98" s="5" t="inlineStr">
        <is>
          <t>Alta</t>
        </is>
      </c>
      <c r="E98" s="5" t="inlineStr">
        <is>
          <t>Desarrollo · v1.1</t>
        </is>
      </c>
      <c r="F98" s="5" t="inlineStr">
        <is>
          <t>F1</t>
        </is>
      </c>
      <c r="G98" s="5" t="inlineStr">
        <is>
          <t>F1.2 · F1.4</t>
        </is>
      </c>
      <c r="H98" s="5" t="inlineStr">
        <is>
          <t>I</t>
        </is>
      </c>
      <c r="I98" s="5" t="inlineStr">
        <is>
          <t>GitHub muestra la última versión en main, entrada por pull request aprobado, y la etiqueta de cierre de fase.</t>
        </is>
      </c>
      <c r="J98" s="5" t="inlineStr">
        <is>
          <t>Cumple</t>
        </is>
      </c>
      <c r="K98" s="5" t="inlineStr">
        <is>
          <t>0.1.4</t>
        </is>
      </c>
      <c r="L98" s="5" t="inlineStr">
        <is>
          <t>PR #1 a #5 fusionados · etiqueta v0.1.5</t>
        </is>
      </c>
      <c r="M98" s="5" t="inlineStr">
        <is>
          <t>Verificado parcialmente</t>
        </is>
      </c>
      <c r="N98" s="5" t="inlineStr">
        <is>
          <t>Auditor de requisitos</t>
        </is>
      </c>
      <c r="O98" s="5" t="inlineStr">
        <is>
          <t>Desde el 15/10 todo el proyecto está en pdigue/guitarra; cada versión entra por pull request aprobado (del #1 al #5) y F1 se cerró con la etiqueta v0.1.5. El repositorio es público.</t>
        </is>
      </c>
      <c r="P98" s="6" t="n"/>
      <c r="Q98" s="5" t="inlineStr"/>
    </row>
    <row r="99" ht="120" customHeight="1">
      <c r="A99" s="4" t="inlineStr">
        <is>
          <t>X-02</t>
        </is>
      </c>
      <c r="B99" s="5" t="inlineStr">
        <is>
          <t>Respaldo y publicación</t>
        </is>
      </c>
      <c r="C99" s="5" t="inlineStr">
        <is>
          <t>La app está publicada en una URL pública (GitHub Pages).</t>
        </is>
      </c>
      <c r="D99" s="5" t="inlineStr">
        <is>
          <t>Alta</t>
        </is>
      </c>
      <c r="E99" s="5" t="inlineStr">
        <is>
          <t>Desarrollo · v1.1</t>
        </is>
      </c>
      <c r="F99" s="5" t="inlineStr">
        <is>
          <t>F7</t>
        </is>
      </c>
      <c r="G99" s="5" t="inlineStr">
        <is>
          <t>F7.1</t>
        </is>
      </c>
      <c r="H99" s="5" t="inlineStr">
        <is>
          <t>D</t>
        </is>
      </c>
      <c r="I99" s="5" t="inlineStr">
        <is>
          <t>La URL pública carga la app desde un dispositivo ajeno al proyecto.</t>
        </is>
      </c>
      <c r="J99" s="5" t="inlineStr">
        <is>
          <t>No cumple</t>
        </is>
      </c>
      <c r="K99" s="5" t="inlineStr">
        <is>
          <t>—</t>
        </is>
      </c>
      <c r="L99" s="5" t="inlineStr">
        <is>
          <t>—</t>
        </is>
      </c>
      <c r="M99" s="5" t="inlineStr">
        <is>
          <t>Pendiente</t>
        </is>
      </c>
      <c r="N99" s="5" t="inlineStr">
        <is>
          <t>Cliente</t>
        </is>
      </c>
      <c r="O99" s="5" t="inlineStr">
        <is>
          <t>Antes en V1; pasa a la última fase por decisión del 15/09: desarrollo local de principio a fin. Despliegue de pruebas (decisión del 15/10): antes de la Sesión 1 se publica una versión de pruebas en GitHub Pages, sin anunciar, para probar en el iPhone con https la instalación, el modo sin conexión y el micrófono. X-02 sigue siendo la publicación oficial.</t>
        </is>
      </c>
      <c r="P99" s="6" t="n"/>
      <c r="Q99" s="5" t="inlineStr"/>
    </row>
    <row r="100" ht="33" customHeight="1">
      <c r="A100" s="4" t="inlineStr">
        <is>
          <t>X-03</t>
        </is>
      </c>
      <c r="B100" s="5" t="inlineStr">
        <is>
          <t>Respaldo y publicación</t>
        </is>
      </c>
      <c r="C100" s="5" t="inlineStr">
        <is>
          <t>La app está verificada en móviles reales, instalada como icono desde la web publicada.</t>
        </is>
      </c>
      <c r="D100" s="5" t="inlineStr">
        <is>
          <t>Alta</t>
        </is>
      </c>
      <c r="E100" s="5" t="inlineStr">
        <is>
          <t>Desarrollo · v1.1</t>
        </is>
      </c>
      <c r="F100" s="5" t="inlineStr">
        <is>
          <t>F7</t>
        </is>
      </c>
      <c r="G100" s="5" t="inlineStr">
        <is>
          <t>F7.2</t>
        </is>
      </c>
      <c r="H100" s="5" t="inlineStr">
        <is>
          <t>D</t>
        </is>
      </c>
      <c r="I100" s="5" t="inlineStr">
        <is>
          <t>La app instalada desde la web funciona en un Android, un iPhone y un Windows reales.</t>
        </is>
      </c>
      <c r="J100" s="5" t="inlineStr">
        <is>
          <t>No cumple</t>
        </is>
      </c>
      <c r="K100" s="5" t="inlineStr">
        <is>
          <t>—</t>
        </is>
      </c>
      <c r="L100" s="5" t="inlineStr">
        <is>
          <t>—</t>
        </is>
      </c>
      <c r="M100" s="5" t="inlineStr">
        <is>
          <t>Pendiente</t>
        </is>
      </c>
      <c r="N100" s="5" t="inlineStr">
        <is>
          <t>Cliente</t>
        </is>
      </c>
      <c r="O100" s="5" t="inlineStr">
        <is>
          <t>Cierra G-04 y PL-01 a PL-03 en su modo web.</t>
        </is>
      </c>
      <c r="P100" s="6" t="n"/>
      <c r="Q100" s="5" t="inlineStr"/>
    </row>
  </sheetData>
  <autoFilter ref="A4:Q100"/>
  <conditionalFormatting sqref="J5:J100">
    <cfRule type="expression" priority="1" dxfId="0">
      <formula>J5="Cumple"</formula>
    </cfRule>
    <cfRule type="expression" priority="2" dxfId="0">
      <formula>J5="Verificado"</formula>
    </cfRule>
    <cfRule type="expression" priority="3" dxfId="1">
      <formula>OR(J5="Cumple parcialmente",J5="Verificado parcialmente")</formula>
    </cfRule>
    <cfRule type="expression" priority="4" dxfId="2">
      <formula>J5="No cumple"</formula>
    </cfRule>
    <cfRule type="expression" priority="5" dxfId="3">
      <formula>J5="No aplica"</formula>
    </cfRule>
  </conditionalFormatting>
  <conditionalFormatting sqref="M5:M100">
    <cfRule type="expression" priority="6" dxfId="0">
      <formula>M5="Cumple"</formula>
    </cfRule>
    <cfRule type="expression" priority="7" dxfId="0">
      <formula>M5="Verificado"</formula>
    </cfRule>
    <cfRule type="expression" priority="8" dxfId="1">
      <formula>OR(M5="Cumple parcialmente",M5="Verificado parcialmente")</formula>
    </cfRule>
    <cfRule type="expression" priority="9" dxfId="2">
      <formula>M5="No cumple"</formula>
    </cfRule>
    <cfRule type="expression" priority="10" dxfId="3">
      <formula>M5="No aplica"</formula>
    </cfRule>
  </conditionalFormatting>
  <dataValidations count="3">
    <dataValidation sqref="J5:J100" showDropDown="0" showInputMessage="0" showErrorMessage="0" allowBlank="0" errorTitle="Valor no válido" error="Elige un valor de la lista. Están descritos en la hoja Leyenda." type="list">
      <formula1>"Cumple,Cumple parcialmente,No cumple,No aplica"</formula1>
    </dataValidation>
    <dataValidation sqref="M5:M100" showDropDown="0" showInputMessage="0" showErrorMessage="0" allowBlank="0" errorTitle="Valor no válido" error="Elige un valor de la lista. Están descritos en la hoja Leyenda." type="list">
      <formula1>"Verificado,Verificado parcialmente,Pendiente,No aplica"</formula1>
    </dataValidation>
    <dataValidation sqref="H5:H100" showDropDown="0" showInputMessage="0" showErrorMessage="0" allowBlank="0" errorTitle="Valor no válido" error="Elige un valor de la lista. Están descritos en la hoja Leyenda." type="list">
      <formula1>"I,A,D,T,I+T,N/A"</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16" customWidth="1" min="1" max="1"/>
    <col width="12" customWidth="1" min="2" max="2"/>
    <col width="11" customWidth="1" min="3" max="3"/>
    <col width="14" customWidth="1" min="4" max="4"/>
    <col width="12" customWidth="1" min="5" max="5"/>
    <col width="11" customWidth="1" min="6" max="6"/>
    <col width="13" customWidth="1" min="7" max="7"/>
    <col width="12" customWidth="1" min="8" max="8"/>
    <col width="14" customWidth="1" min="9" max="9"/>
  </cols>
  <sheetData>
    <row r="1">
      <c r="A1" s="1" t="inlineStr">
        <is>
          <t>Resumen de cumplimiento</t>
        </is>
      </c>
    </row>
    <row r="2">
      <c r="A2" s="2" t="inlineStr">
        <is>
          <t>Todas las cifras son fórmulas sobre la hoja Matriz: cambian solas al actualizar una declaración o un estado. Un requisito asignado a dos fases cuenta en las dos; el total cuenta cada requisito una vez.</t>
        </is>
      </c>
    </row>
    <row r="4" ht="30" customHeight="1">
      <c r="A4" s="3" t="inlineStr">
        <is>
          <t>Fase</t>
        </is>
      </c>
      <c r="B4" s="3" t="inlineStr">
        <is>
          <t>Requisitos</t>
        </is>
      </c>
      <c r="C4" s="3" t="inlineStr">
        <is>
          <t>Cumple</t>
        </is>
      </c>
      <c r="D4" s="3" t="inlineStr">
        <is>
          <t>Cumple parcialmente</t>
        </is>
      </c>
      <c r="E4" s="3" t="inlineStr">
        <is>
          <t>No cumple</t>
        </is>
      </c>
      <c r="F4" s="3" t="inlineStr">
        <is>
          <t>No aplica</t>
        </is>
      </c>
      <c r="G4" s="3" t="inlineStr">
        <is>
          <t>% que cumple</t>
        </is>
      </c>
      <c r="H4" s="3" t="inlineStr">
        <is>
          <t>Verificados</t>
        </is>
      </c>
      <c r="I4" s="3" t="inlineStr">
        <is>
          <t>Verificados parcialmente</t>
        </is>
      </c>
    </row>
    <row r="5">
      <c r="A5" s="7" t="inlineStr">
        <is>
          <t>F1 · Base local verificada</t>
        </is>
      </c>
      <c r="B5" s="7">
        <f>COUNTIF(Matriz!$F$5:$F$100,"*F1*")</f>
        <v/>
      </c>
      <c r="C5" s="7">
        <f>COUNTIFS(Matriz!$F$5:$F$100,"*F1*",Matriz!$J$5:$J$100,"Cumple")</f>
        <v/>
      </c>
      <c r="D5" s="7">
        <f>COUNTIFS(Matriz!$F$5:$F$100,"*F1*",Matriz!$J$5:$J$100,"Cumple parcialmente")</f>
        <v/>
      </c>
      <c r="E5" s="7">
        <f>COUNTIFS(Matriz!$F$5:$F$100,"*F1*",Matriz!$J$5:$J$100,"No cumple")</f>
        <v/>
      </c>
      <c r="F5" s="7">
        <f>COUNTIFS(Matriz!$F$5:$F$100,"*F1*",Matriz!$J$5:$J$100,"No aplica")</f>
        <v/>
      </c>
      <c r="G5" s="8">
        <f>IFERROR(C5/B5,0)</f>
        <v/>
      </c>
      <c r="H5" s="7">
        <f>COUNTIFS(Matriz!$F$5:$F$100,"*F1*",Matriz!$M$5:$M$100,"Verificado")</f>
        <v/>
      </c>
      <c r="I5" s="7">
        <f>COUNTIFS(Matriz!$F$5:$F$100,"*F1*",Matriz!$M$5:$M$100,"Verificado parcialmente")</f>
        <v/>
      </c>
    </row>
    <row r="6">
      <c r="A6" s="7" t="inlineStr">
        <is>
          <t>F2 · Sonido propio y archivo autónomo</t>
        </is>
      </c>
      <c r="B6" s="7">
        <f>COUNTIF(Matriz!$F$5:$F$100,"*F2*")</f>
        <v/>
      </c>
      <c r="C6" s="7">
        <f>COUNTIFS(Matriz!$F$5:$F$100,"*F2*",Matriz!$J$5:$J$100,"Cumple")</f>
        <v/>
      </c>
      <c r="D6" s="7">
        <f>COUNTIFS(Matriz!$F$5:$F$100,"*F2*",Matriz!$J$5:$J$100,"Cumple parcialmente")</f>
        <v/>
      </c>
      <c r="E6" s="7">
        <f>COUNTIFS(Matriz!$F$5:$F$100,"*F2*",Matriz!$J$5:$J$100,"No cumple")</f>
        <v/>
      </c>
      <c r="F6" s="7">
        <f>COUNTIFS(Matriz!$F$5:$F$100,"*F2*",Matriz!$J$5:$J$100,"No aplica")</f>
        <v/>
      </c>
      <c r="G6" s="8">
        <f>IFERROR(C6/B6,0)</f>
        <v/>
      </c>
      <c r="H6" s="7">
        <f>COUNTIFS(Matriz!$F$5:$F$100,"*F2*",Matriz!$M$5:$M$100,"Verificado")</f>
        <v/>
      </c>
      <c r="I6" s="7">
        <f>COUNTIFS(Matriz!$F$5:$F$100,"*F2*",Matriz!$M$5:$M$100,"Verificado parcialmente")</f>
        <v/>
      </c>
    </row>
    <row r="7">
      <c r="A7" s="7" t="inlineStr">
        <is>
          <t>F3 · Interfaz y adaptación</t>
        </is>
      </c>
      <c r="B7" s="7">
        <f>COUNTIF(Matriz!$F$5:$F$100,"*F3*")</f>
        <v/>
      </c>
      <c r="C7" s="7">
        <f>COUNTIFS(Matriz!$F$5:$F$100,"*F3*",Matriz!$J$5:$J$100,"Cumple")</f>
        <v/>
      </c>
      <c r="D7" s="7">
        <f>COUNTIFS(Matriz!$F$5:$F$100,"*F3*",Matriz!$J$5:$J$100,"Cumple parcialmente")</f>
        <v/>
      </c>
      <c r="E7" s="7">
        <f>COUNTIFS(Matriz!$F$5:$F$100,"*F3*",Matriz!$J$5:$J$100,"No cumple")</f>
        <v/>
      </c>
      <c r="F7" s="7">
        <f>COUNTIFS(Matriz!$F$5:$F$100,"*F3*",Matriz!$J$5:$J$100,"No aplica")</f>
        <v/>
      </c>
      <c r="G7" s="8">
        <f>IFERROR(C7/B7,0)</f>
        <v/>
      </c>
      <c r="H7" s="7">
        <f>COUNTIFS(Matriz!$F$5:$F$100,"*F3*",Matriz!$M$5:$M$100,"Verificado")</f>
        <v/>
      </c>
      <c r="I7" s="7">
        <f>COUNTIFS(Matriz!$F$5:$F$100,"*F3*",Matriz!$M$5:$M$100,"Verificado parcialmente")</f>
        <v/>
      </c>
    </row>
    <row r="8">
      <c r="A8" s="7" t="inlineStr">
        <is>
          <t>F4 · Afinador por micrófono</t>
        </is>
      </c>
      <c r="B8" s="7">
        <f>COUNTIF(Matriz!$F$5:$F$100,"*F4*")</f>
        <v/>
      </c>
      <c r="C8" s="7">
        <f>COUNTIFS(Matriz!$F$5:$F$100,"*F4*",Matriz!$J$5:$J$100,"Cumple")</f>
        <v/>
      </c>
      <c r="D8" s="7">
        <f>COUNTIFS(Matriz!$F$5:$F$100,"*F4*",Matriz!$J$5:$J$100,"Cumple parcialmente")</f>
        <v/>
      </c>
      <c r="E8" s="7">
        <f>COUNTIFS(Matriz!$F$5:$F$100,"*F4*",Matriz!$J$5:$J$100,"No cumple")</f>
        <v/>
      </c>
      <c r="F8" s="7">
        <f>COUNTIFS(Matriz!$F$5:$F$100,"*F4*",Matriz!$J$5:$J$100,"No aplica")</f>
        <v/>
      </c>
      <c r="G8" s="8">
        <f>IFERROR(C8/B8,0)</f>
        <v/>
      </c>
      <c r="H8" s="7">
        <f>COUNTIFS(Matriz!$F$5:$F$100,"*F4*",Matriz!$M$5:$M$100,"Verificado")</f>
        <v/>
      </c>
      <c r="I8" s="7">
        <f>COUNTIFS(Matriz!$F$5:$F$100,"*F4*",Matriz!$M$5:$M$100,"Verificado parcialmente")</f>
        <v/>
      </c>
    </row>
    <row r="9">
      <c r="A9" s="7" t="inlineStr">
        <is>
          <t>F5 · Escalas</t>
        </is>
      </c>
      <c r="B9" s="7">
        <f>COUNTIF(Matriz!$F$5:$F$100,"*F5*")</f>
        <v/>
      </c>
      <c r="C9" s="7">
        <f>COUNTIFS(Matriz!$F$5:$F$100,"*F5*",Matriz!$J$5:$J$100,"Cumple")</f>
        <v/>
      </c>
      <c r="D9" s="7">
        <f>COUNTIFS(Matriz!$F$5:$F$100,"*F5*",Matriz!$J$5:$J$100,"Cumple parcialmente")</f>
        <v/>
      </c>
      <c r="E9" s="7">
        <f>COUNTIFS(Matriz!$F$5:$F$100,"*F5*",Matriz!$J$5:$J$100,"No cumple")</f>
        <v/>
      </c>
      <c r="F9" s="7">
        <f>COUNTIFS(Matriz!$F$5:$F$100,"*F5*",Matriz!$J$5:$J$100,"No aplica")</f>
        <v/>
      </c>
      <c r="G9" s="8">
        <f>IFERROR(C9/B9,0)</f>
        <v/>
      </c>
      <c r="H9" s="7">
        <f>COUNTIFS(Matriz!$F$5:$F$100,"*F5*",Matriz!$M$5:$M$100,"Verificado")</f>
        <v/>
      </c>
      <c r="I9" s="7">
        <f>COUNTIFS(Matriz!$F$5:$F$100,"*F5*",Matriz!$M$5:$M$100,"Verificado parcialmente")</f>
        <v/>
      </c>
    </row>
    <row r="10">
      <c r="A10" s="7" t="inlineStr">
        <is>
          <t>F6 · Preparación para distribución</t>
        </is>
      </c>
      <c r="B10" s="7">
        <f>COUNTIF(Matriz!$F$5:$F$100,"*F6*")</f>
        <v/>
      </c>
      <c r="C10" s="7">
        <f>COUNTIFS(Matriz!$F$5:$F$100,"*F6*",Matriz!$J$5:$J$100,"Cumple")</f>
        <v/>
      </c>
      <c r="D10" s="7">
        <f>COUNTIFS(Matriz!$F$5:$F$100,"*F6*",Matriz!$J$5:$J$100,"Cumple parcialmente")</f>
        <v/>
      </c>
      <c r="E10" s="7">
        <f>COUNTIFS(Matriz!$F$5:$F$100,"*F6*",Matriz!$J$5:$J$100,"No cumple")</f>
        <v/>
      </c>
      <c r="F10" s="7">
        <f>COUNTIFS(Matriz!$F$5:$F$100,"*F6*",Matriz!$J$5:$J$100,"No aplica")</f>
        <v/>
      </c>
      <c r="G10" s="8">
        <f>IFERROR(C10/B10,0)</f>
        <v/>
      </c>
      <c r="H10" s="7">
        <f>COUNTIFS(Matriz!$F$5:$F$100,"*F6*",Matriz!$M$5:$M$100,"Verificado")</f>
        <v/>
      </c>
      <c r="I10" s="7">
        <f>COUNTIFS(Matriz!$F$5:$F$100,"*F6*",Matriz!$M$5:$M$100,"Verificado parcialmente")</f>
        <v/>
      </c>
    </row>
    <row r="11">
      <c r="A11" s="7" t="inlineStr">
        <is>
          <t>F7 · Publicación y lanzamiento</t>
        </is>
      </c>
      <c r="B11" s="7">
        <f>COUNTIF(Matriz!$F$5:$F$100,"*F7*")</f>
        <v/>
      </c>
      <c r="C11" s="7">
        <f>COUNTIFS(Matriz!$F$5:$F$100,"*F7*",Matriz!$J$5:$J$100,"Cumple")</f>
        <v/>
      </c>
      <c r="D11" s="7">
        <f>COUNTIFS(Matriz!$F$5:$F$100,"*F7*",Matriz!$J$5:$J$100,"Cumple parcialmente")</f>
        <v/>
      </c>
      <c r="E11" s="7">
        <f>COUNTIFS(Matriz!$F$5:$F$100,"*F7*",Matriz!$J$5:$J$100,"No cumple")</f>
        <v/>
      </c>
      <c r="F11" s="7">
        <f>COUNTIFS(Matriz!$F$5:$F$100,"*F7*",Matriz!$J$5:$J$100,"No aplica")</f>
        <v/>
      </c>
      <c r="G11" s="8">
        <f>IFERROR(C11/B11,0)</f>
        <v/>
      </c>
      <c r="H11" s="7">
        <f>COUNTIFS(Matriz!$F$5:$F$100,"*F7*",Matriz!$M$5:$M$100,"Verificado")</f>
        <v/>
      </c>
      <c r="I11" s="7">
        <f>COUNTIFS(Matriz!$F$5:$F$100,"*F7*",Matriz!$M$5:$M$100,"Verificado parcialmente")</f>
        <v/>
      </c>
    </row>
    <row r="12">
      <c r="A12" s="7" t="inlineStr">
        <is>
          <t>Posterior · fuera de alcance</t>
        </is>
      </c>
      <c r="B12" s="7">
        <f>COUNTIF(Matriz!$F$5:$F$100,"*Posterior*")</f>
        <v/>
      </c>
      <c r="C12" s="7">
        <f>COUNTIFS(Matriz!$F$5:$F$100,"*Posterior*",Matriz!$J$5:$J$100,"Cumple")</f>
        <v/>
      </c>
      <c r="D12" s="7">
        <f>COUNTIFS(Matriz!$F$5:$F$100,"*Posterior*",Matriz!$J$5:$J$100,"Cumple parcialmente")</f>
        <v/>
      </c>
      <c r="E12" s="7">
        <f>COUNTIFS(Matriz!$F$5:$F$100,"*Posterior*",Matriz!$J$5:$J$100,"No cumple")</f>
        <v/>
      </c>
      <c r="F12" s="7">
        <f>COUNTIFS(Matriz!$F$5:$F$100,"*Posterior*",Matriz!$J$5:$J$100,"No aplica")</f>
        <v/>
      </c>
      <c r="G12" s="8">
        <f>IFERROR(C12/B12,0)</f>
        <v/>
      </c>
      <c r="H12" s="7">
        <f>COUNTIFS(Matriz!$F$5:$F$100,"*Posterior*",Matriz!$M$5:$M$100,"Verificado")</f>
        <v/>
      </c>
      <c r="I12" s="7">
        <f>COUNTIFS(Matriz!$F$5:$F$100,"*Posterior*",Matriz!$M$5:$M$100,"Verificado parcialmente")</f>
        <v/>
      </c>
    </row>
    <row r="13">
      <c r="A13" s="9" t="inlineStr">
        <is>
          <t>Total del producto</t>
        </is>
      </c>
      <c r="B13" s="9">
        <f>COUNTA(Matriz!$A$5:$A$100)</f>
        <v/>
      </c>
      <c r="C13" s="9">
        <f>COUNTIF(Matriz!$J$5:$J$100,"Cumple")</f>
        <v/>
      </c>
      <c r="D13" s="9">
        <f>COUNTIF(Matriz!$J$5:$J$100,"Cumple parcialmente")</f>
        <v/>
      </c>
      <c r="E13" s="9">
        <f>COUNTIF(Matriz!$J$5:$J$100,"No cumple")</f>
        <v/>
      </c>
      <c r="F13" s="9">
        <f>COUNTIF(Matriz!$J$5:$J$100,"No aplica")</f>
        <v/>
      </c>
      <c r="G13" s="10">
        <f>IFERROR(C13/B13,0)</f>
        <v/>
      </c>
      <c r="H13" s="9">
        <f>COUNTIF(Matriz!$M$5:$M$100,"Verificado")</f>
        <v/>
      </c>
      <c r="I13" s="9">
        <f>COUNTIF(Matriz!$M$5:$M$100,"Verificado parcialmente")</f>
        <v/>
      </c>
    </row>
    <row r="15">
      <c r="A15" s="11" t="inlineStr">
        <is>
          <t>Por método de verificación</t>
        </is>
      </c>
    </row>
    <row r="16">
      <c r="A16" s="12" t="inlineStr">
        <is>
          <t>I · Inspección</t>
        </is>
      </c>
      <c r="B16" s="12">
        <f>COUNTIF(Matriz!$H$5:$H$100,"I")</f>
        <v/>
      </c>
    </row>
    <row r="17">
      <c r="A17" s="12" t="inlineStr">
        <is>
          <t>A · Análisis</t>
        </is>
      </c>
      <c r="B17" s="12">
        <f>COUNTIF(Matriz!$H$5:$H$100,"A")</f>
        <v/>
      </c>
    </row>
    <row r="18">
      <c r="A18" s="12" t="inlineStr">
        <is>
          <t>D · Demostración</t>
        </is>
      </c>
      <c r="B18" s="12">
        <f>COUNTIF(Matriz!$H$5:$H$100,"D")</f>
        <v/>
      </c>
    </row>
    <row r="19">
      <c r="A19" s="12" t="inlineStr">
        <is>
          <t>T · Prueba</t>
        </is>
      </c>
      <c r="B19" s="12">
        <f>COUNTIF(Matriz!$H$5:$H$100,"T")</f>
        <v/>
      </c>
    </row>
    <row r="20">
      <c r="A20" s="12" t="inlineStr">
        <is>
          <t>I+T · Inspección y prueba</t>
        </is>
      </c>
      <c r="B20" s="12">
        <f>COUNTIF(Matriz!$H$5:$H$100,"I+T")</f>
        <v/>
      </c>
    </row>
    <row r="21">
      <c r="A21" s="12" t="inlineStr">
        <is>
          <t>N/A · No aplica</t>
        </is>
      </c>
      <c r="B21" s="12">
        <f>COUNTIF(Matriz!$H$5:$H$100,"N/A")</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28" customWidth="1" min="1" max="1"/>
    <col width="95" customWidth="1" min="2" max="2"/>
  </cols>
  <sheetData>
    <row r="1" ht="64" customHeight="1">
      <c r="A1" s="13" t="inlineStr">
        <is>
          <t>Qué es</t>
        </is>
      </c>
      <c r="B1" s="14" t="inlineStr">
        <is>
          <t>Matriz de cumplimiento de requisitos entre el cliente, que define qué debe hacer el producto, y el proveedor, que lo construye y declara su grado de cumplimiento. Los auditores verifican de forma independiente. Equivale a una matriz de verificación cruzada (VCRM) de ingeniería de sistemas.</t>
        </is>
      </c>
    </row>
    <row r="2" ht="34" customHeight="1">
      <c r="A2" s="13" t="inlineStr">
        <is>
          <t>Roles</t>
        </is>
      </c>
      <c r="B2" s="14" t="inlineStr">
        <is>
          <t>Cliente: Pablo Díaz Guerra. Proveedor: chat de Desarrollo, o el agente desarrollador en el modo acelerado. Verificación independiente: auditor de requisitos y auditor técnico.</t>
        </is>
      </c>
    </row>
    <row r="3" ht="34" customHeight="1">
      <c r="A3" s="13" t="inlineStr">
        <is>
          <t>Qué celdas editas tú</t>
        </is>
      </c>
      <c r="B3" s="14" t="inlineStr">
        <is>
          <t>La columna «Comentario del cliente», en amarillo. Las declaraciones y los estados los actualiza el proveedor en cada entrega; tú los aceptas o los discutes en tu comentario.</t>
        </is>
      </c>
    </row>
    <row r="4" ht="19" customHeight="1">
      <c r="A4" s="13" t="inlineStr">
        <is>
          <t>Ejemplo de comentario del cliente</t>
        </is>
      </c>
      <c r="B4" s="15" t="inlineStr">
        <is>
          <t>Aceptado en Chrome. Repetir en Firefox antes de marcarlo como verificado.</t>
        </is>
      </c>
    </row>
    <row r="5" ht="34" customHeight="1">
      <c r="A5" s="13" t="inlineStr">
        <is>
          <t>Método · I</t>
        </is>
      </c>
      <c r="B5" s="14" t="inlineStr">
        <is>
          <t>Inspección: se comprueba mirando el producto, el código o la documentación, sin ejecutar nada especial.</t>
        </is>
      </c>
    </row>
    <row r="6" ht="34" customHeight="1">
      <c r="A6" s="13" t="inlineStr">
        <is>
          <t>Método · A</t>
        </is>
      </c>
      <c r="B6" s="14" t="inlineStr">
        <is>
          <t>Análisis: se comprueba con un cálculo o un razonamiento sobre todos los casos, por ejemplo el rango completo del pentagrama.</t>
        </is>
      </c>
    </row>
    <row r="7" ht="19" customHeight="1">
      <c r="A7" s="13" t="inlineStr">
        <is>
          <t>Método · D</t>
        </is>
      </c>
      <c r="B7" s="14" t="inlineStr">
        <is>
          <t>Demostración: se usa la app y se observa que hace lo pedido.</t>
        </is>
      </c>
    </row>
    <row r="8" ht="34" customHeight="1">
      <c r="A8" s="13" t="inlineStr">
        <is>
          <t>Método · T</t>
        </is>
      </c>
      <c r="B8" s="14" t="inlineStr">
        <is>
          <t>Prueba: se mide con un procedimiento repetible y un resultado esperado, normalmente el banco de pruebas automático.</t>
        </is>
      </c>
    </row>
    <row r="9" ht="34" customHeight="1">
      <c r="A9" s="13" t="inlineStr">
        <is>
          <t>Declaración del proveedor</t>
        </is>
      </c>
      <c r="B9" s="14" t="inlineStr">
        <is>
          <t>Cumple · Cumple parcialmente · No cumple (aún no implementado, planificado en su etapa) · No aplica (fuera de alcance).</t>
        </is>
      </c>
    </row>
    <row r="10" ht="49" customHeight="1">
      <c r="A10" s="13" t="inlineStr">
        <is>
          <t>Estado de verificación</t>
        </is>
      </c>
      <c r="B10" s="14" t="inlineStr">
        <is>
          <t>Verificado: superó su criterio de aceptación con el método indicado. Verificado parcialmente: hay evidencia, pero falta parte del método, por ejemplo la demostración en un navegador real. Pendiente: sin evidencia todavía.</t>
        </is>
      </c>
    </row>
    <row r="11" ht="64" customHeight="1">
      <c r="A11" s="13" t="inlineStr">
        <is>
          <t>Evidencia</t>
        </is>
      </c>
      <c r="B11" s="14" t="inlineStr">
        <is>
          <t>«Banco (node --test)» son las pruebas automáticas de tests/banco.test.js: arrancan la app en un navegador simulado, sin instalar nada (15 pruebas y 1 pendiente en la 0.1.4). «F1.1 #n» es la comprobación número n de la lista de F1.1 del roadmap, que se hace en la Sesión 1. samples/afinacion.json es la medición de la afinación de cada muestra.</t>
        </is>
      </c>
    </row>
    <row r="12" ht="34" customHeight="1">
      <c r="A12" s="13" t="inlineStr">
        <is>
          <t>Regla de cierre</t>
        </is>
      </c>
      <c r="B12" s="14" t="inlineStr">
        <is>
          <t>Una etapa del roadmap se cierra cuando todos sus requisitos están en «Cumple» y «Verificado». En el modo acelerado esta regla es el criterio de parada de cada iteración automática.</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10" customWidth="1" min="1" max="1"/>
    <col width="12" customWidth="1" min="2" max="2"/>
    <col width="12" customWidth="1" min="3" max="3"/>
    <col width="8" customWidth="1" min="4" max="4"/>
    <col width="90" customWidth="1" min="5" max="5"/>
  </cols>
  <sheetData>
    <row r="1">
      <c r="A1" s="16" t="inlineStr">
        <is>
          <t>Versión</t>
        </is>
      </c>
      <c r="B1" s="16" t="inlineStr">
        <is>
          <t>Fecha</t>
        </is>
      </c>
      <c r="C1" s="16" t="inlineStr">
        <is>
          <t>Requisitos</t>
        </is>
      </c>
      <c r="D1" s="16" t="inlineStr">
        <is>
          <t>App</t>
        </is>
      </c>
      <c r="E1" s="16" t="inlineStr">
        <is>
          <t>Cambios</t>
        </is>
      </c>
    </row>
    <row r="2" ht="46" customHeight="1">
      <c r="A2" s="14" t="inlineStr">
        <is>
          <t>1.16</t>
        </is>
      </c>
      <c r="B2" s="14" t="inlineStr">
        <is>
          <t>21/10/2026</t>
        </is>
      </c>
      <c r="C2" s="14" t="inlineStr">
        <is>
          <t>v1.18</t>
        </is>
      </c>
      <c r="D2" s="14" t="inlineStr">
        <is>
          <t>0.5.0</t>
        </is>
      </c>
      <c r="E2" s="14" t="inlineStr">
        <is>
          <t>F5: criterios y evidencias de E-01 a E-06 y P-03; E-02 y E-05 verificados por el banco; E-04 con los intervalos en la línea de notas.</t>
        </is>
      </c>
    </row>
    <row r="3" ht="46" customHeight="1">
      <c r="A3" s="14" t="inlineStr">
        <is>
          <t>1.15</t>
        </is>
      </c>
      <c r="B3" s="14" t="inlineStr">
        <is>
          <t>21/10/2026</t>
        </is>
      </c>
      <c r="C3" s="14" t="inlineStr">
        <is>
          <t>v1.17</t>
        </is>
      </c>
      <c r="D3" s="14" t="inlineStr">
        <is>
          <t>0.4.2</t>
        </is>
      </c>
      <c r="E3" s="14" t="inlineStr">
        <is>
          <t>G-12 nuevo (idioma); J-11 con criterio de banco, verificado; criterios de J-01 (lectura de la nota tocada), J-06 (pistas grandes), J-08 (récords por afinación) y C-02 (idioma).</t>
        </is>
      </c>
    </row>
    <row r="4" ht="46" customHeight="1">
      <c r="A4" s="14" t="inlineStr">
        <is>
          <t>1.14</t>
        </is>
      </c>
      <c r="B4" s="14" t="inlineStr">
        <is>
          <t>21/10/2026</t>
        </is>
      </c>
      <c r="C4" s="14" t="inlineStr">
        <is>
          <t>v1.16</t>
        </is>
      </c>
      <c r="D4" s="14" t="inlineStr">
        <is>
          <t>0.4.0</t>
        </is>
      </c>
      <c r="E4" s="14" t="inlineStr">
        <is>
          <t>F4.1 a F4.3: evidencias del afinador por micrófono (A-02 a A-05, A-02-CA); A-02-CA y A-04 verificados por el banco; G-10 verificado con las etiquetas de F1 a F3.</t>
        </is>
      </c>
    </row>
    <row r="5" ht="46" customHeight="1">
      <c r="A5" s="14" t="inlineStr">
        <is>
          <t>1.13</t>
        </is>
      </c>
      <c r="B5" s="14" t="inlineStr">
        <is>
          <t>20/10/2026</t>
        </is>
      </c>
      <c r="C5" s="14" t="inlineStr">
        <is>
          <t>v1.15</t>
        </is>
      </c>
      <c r="D5" s="14" t="inlineStr">
        <is>
          <t>0.3.3</t>
        </is>
      </c>
      <c r="E5" s="14" t="inlineStr">
        <is>
          <t>Sesión 1: 35 requisitos verificados en el iPhone y el PC del cliente (informe V-08), con la prueba que los valida en la evidencia. Criterios nuevos de J-01, J-08, J-10 y S-02 (pendientes de la Sesión 2); evidencia de S-01 (mudo en el iPhone) y PL-04; C-08 y S-09 nuevos, fuera de alcance.</t>
        </is>
      </c>
    </row>
    <row r="6" ht="46" customHeight="1">
      <c r="A6" s="14" t="inlineStr">
        <is>
          <t>1.12</t>
        </is>
      </c>
      <c r="B6" s="14" t="inlineStr">
        <is>
          <t>20/10/2026</t>
        </is>
      </c>
      <c r="C6" s="14" t="inlineStr">
        <is>
          <t>v1.14</t>
        </is>
      </c>
      <c r="D6" s="14" t="inlineStr">
        <is>
          <t>0.3.2</t>
        </is>
      </c>
      <c r="E6" s="14" t="inlineStr">
        <is>
          <t>Criterios de V-04 y G-05: «+» enseña más trastes y el usuario puede pedir trastes de hasta 28 px con el dedo (comentario del cliente del 20/10).</t>
        </is>
      </c>
    </row>
    <row r="7" ht="46" customHeight="1">
      <c r="A7" s="14" t="inlineStr">
        <is>
          <t>1.11</t>
        </is>
      </c>
      <c r="B7" s="14" t="inlineStr">
        <is>
          <t>20/10/2026</t>
        </is>
      </c>
      <c r="C7" s="14" t="inlineStr">
        <is>
          <t>v1.13</t>
        </is>
      </c>
      <c r="D7" s="14" t="inlineStr">
        <is>
          <t>0.3.1</t>
        </is>
      </c>
      <c r="E7" s="14" t="inlineStr">
        <is>
          <t>Etapa F3.4: G-05 cumple, verificado parcialmente hasta la Sesión 1. Su criterio añade los umbrales de la paleta (AR-06 #3).</t>
        </is>
      </c>
    </row>
    <row r="8" ht="46" customHeight="1">
      <c r="A8" s="14" t="inlineStr">
        <is>
          <t>1.10</t>
        </is>
      </c>
      <c r="B8" s="14" t="inlineStr">
        <is>
          <t>20/10/2026</t>
        </is>
      </c>
      <c r="C8" s="14" t="inlineStr">
        <is>
          <t>v1.12</t>
        </is>
      </c>
      <c r="D8" s="14" t="inlineStr">
        <is>
          <t>0.3.0</t>
        </is>
      </c>
      <c r="E8" s="14" t="inlineStr">
        <is>
          <t>Etapa F3.2: V-01 y C-07 cumplen, verificados parcialmente hasta la Sesión 1. Criterios revisados: V-04 (lo guardado se conserva) y G-05 (excepción en vertical por debajo de 660 px de alto).</t>
        </is>
      </c>
    </row>
    <row r="9" ht="46" customHeight="1">
      <c r="A9" s="14" t="inlineStr">
        <is>
          <t>1.9</t>
        </is>
      </c>
      <c r="B9" s="14" t="inlineStr">
        <is>
          <t>20/10/2026</t>
        </is>
      </c>
      <c r="C9" s="14" t="inlineStr">
        <is>
          <t>v1.11</t>
        </is>
      </c>
      <c r="D9" s="14" t="inlineStr">
        <is>
          <t>0.2.3</t>
        </is>
      </c>
      <c r="E9" s="14" t="inlineStr">
        <is>
          <t>Interfaz aprobada: C-06 verificado; C-07 nuevo; criterios revisados de V-01 (40 px con alto útil ≥ 268 px y aviso para girar), V-04 (trastes ≥ 40 px en pantallas táctiles), G-05 (controles de 40 × 40 px) y C-04 (navegación según la disposición).</t>
        </is>
      </c>
    </row>
    <row r="10" ht="46" customHeight="1">
      <c r="A10" s="14" t="inlineStr">
        <is>
          <t>1.8</t>
        </is>
      </c>
      <c r="B10" s="14" t="inlineStr">
        <is>
          <t>20/10/2026</t>
        </is>
      </c>
      <c r="C10" s="14" t="inlineStr">
        <is>
          <t>v1.10</t>
        </is>
      </c>
      <c r="D10" s="14" t="inlineStr">
        <is>
          <t>0.2.3</t>
        </is>
      </c>
      <c r="E10" s="14" t="inlineStr">
        <is>
          <t>S-07 cumple y queda verificado: licencia CC BY de los 161 sonidos del pack de nylon.</t>
        </is>
      </c>
    </row>
    <row r="11" ht="46" customHeight="1">
      <c r="A11" s="14" t="inlineStr">
        <is>
          <t>1.7</t>
        </is>
      </c>
      <c r="B11" s="14" t="inlineStr">
        <is>
          <t>20/10/2026</t>
        </is>
      </c>
      <c r="C11" s="14" t="inlineStr">
        <is>
          <t>v1.9</t>
        </is>
      </c>
      <c r="D11" s="14" t="inlineStr">
        <is>
          <t>0.2.3</t>
        </is>
      </c>
      <c r="E11" s="14" t="inlineStr">
        <is>
          <t>Evidencia de S-07: licencia de nylon comprobada en tres sonidos. Criterios sin cambios.</t>
        </is>
      </c>
    </row>
    <row r="12" ht="46" customHeight="1">
      <c r="A12" s="14" t="inlineStr">
        <is>
          <t>1.6</t>
        </is>
      </c>
      <c r="B12" s="14" t="inlineStr">
        <is>
          <t>19/10/2026</t>
        </is>
      </c>
      <c r="C12" s="14" t="inlineStr">
        <is>
          <t>v1.8</t>
        </is>
      </c>
      <c r="D12" s="14" t="inlineStr">
        <is>
          <t>0.2.3</t>
        </is>
      </c>
      <c r="E12" s="14" t="inlineStr">
        <is>
          <t>CP-2: criterio de G-07 con los límites revisados y solo Windows y Android; X-01 cumple; evidencia de S-01 con la escucha del cliente (V-05).</t>
        </is>
      </c>
    </row>
    <row r="13" ht="46" customHeight="1">
      <c r="A13" s="14" t="inlineStr">
        <is>
          <t>1.5</t>
        </is>
      </c>
      <c r="B13" s="14" t="inlineStr">
        <is>
          <t>19/10/2026</t>
        </is>
      </c>
      <c r="C13" s="14" t="inlineStr">
        <is>
          <t>v1.7</t>
        </is>
      </c>
      <c r="D13" s="14" t="inlineStr">
        <is>
          <t>0.2.2</t>
        </is>
      </c>
      <c r="E13" s="14" t="inlineStr">
        <is>
          <t>Criterio de S-08 según su nueva redacción: nota resultante a ±5 cents tras la corrección.</t>
        </is>
      </c>
    </row>
    <row r="14" ht="46" customHeight="1">
      <c r="A14" s="14" t="inlineStr">
        <is>
          <t>1.4</t>
        </is>
      </c>
      <c r="B14" s="14" t="inlineStr">
        <is>
          <t>19/10/2026</t>
        </is>
      </c>
      <c r="C14" s="14" t="inlineStr">
        <is>
          <t>v1.6</t>
        </is>
      </c>
      <c r="D14" s="14" t="inlineStr">
        <is>
          <t>0.2.1</t>
        </is>
      </c>
      <c r="E14" s="14" t="inlineStr">
        <is>
          <t>G-07 y G-08 verificados parcialmente con el archivo autónomo (V-03 y banco); falta la prueba en cada plataforma (F2.5).</t>
        </is>
      </c>
    </row>
    <row r="15" ht="46" customHeight="1">
      <c r="A15" s="14" t="inlineStr">
        <is>
          <t>1.3</t>
        </is>
      </c>
      <c r="B15" s="14" t="inlineStr">
        <is>
          <t>19/10/2026</t>
        </is>
      </c>
      <c r="C15" s="14" t="inlineStr">
        <is>
          <t>v1.5</t>
        </is>
      </c>
      <c r="D15" s="14" t="inlineStr">
        <is>
          <t>0.2.0</t>
        </is>
      </c>
      <c r="E15" s="14" t="inlineStr">
        <is>
          <t>S-08 verificado: la app usa sus grabaciones medidas (F2.2). Evidencias nuevas en S-01, S-07 y S-08: banco con todas las notas y grabación en el navegador (V-02).</t>
        </is>
      </c>
    </row>
    <row r="16" ht="46" customHeight="1">
      <c r="A16" s="14" t="inlineStr">
        <is>
          <t>1.2</t>
        </is>
      </c>
      <c r="B16" s="14" t="inlineStr">
        <is>
          <t>15/10/2026</t>
        </is>
      </c>
      <c r="C16" s="14" t="inlineStr">
        <is>
          <t>v1.4</t>
        </is>
      </c>
      <c r="D16" s="14" t="inlineStr">
        <is>
          <t>0.1.4</t>
        </is>
      </c>
      <c r="E16" s="14" t="inlineStr">
        <is>
          <t>Nuevo PL-04: adaptabilidad entre sistemas, con docs/compatibilidad.md como evidencia. PL-02 sin Android de pruebas por ahora; X-02 con despliegue de pruebas previo.</t>
        </is>
      </c>
    </row>
    <row r="17" ht="46" customHeight="1">
      <c r="A17" s="14" t="inlineStr">
        <is>
          <t>1.1</t>
        </is>
      </c>
      <c r="B17" s="14" t="inlineStr">
        <is>
          <t>15/10/2026</t>
        </is>
      </c>
      <c r="C17" s="14" t="inlineStr">
        <is>
          <t>v1.3</t>
        </is>
      </c>
      <c r="D17" s="14" t="inlineStr">
        <is>
          <t>0.1.4</t>
        </is>
      </c>
      <c r="E17" s="14" t="inlineStr">
        <is>
          <t>Nuevo S-08: afinación medida de cada muestra, verificado parcialmente hasta F2.2. Criterios revisados en CP-1: S-01, S-08, G-03, G-06 y A-02-CA. S-07 y G-06 pasan a «Cumple parcialmente» con CREDITOS.md y samples/. Las evidencias del banco apuntan a tests/ (node --test, 12 pruebas). Nueva comprobación F1.1 #15 para oír la corrección del registro agudo.</t>
        </is>
      </c>
    </row>
    <row r="18" ht="46" customHeight="1">
      <c r="A18" s="14" t="inlineStr">
        <is>
          <t>1.0</t>
        </is>
      </c>
      <c r="B18" s="14" t="inlineStr">
        <is>
          <t>14/10/2026</t>
        </is>
      </c>
      <c r="C18" s="14" t="inlineStr">
        <is>
          <t>v1.2</t>
        </is>
      </c>
      <c r="D18" s="14" t="inlineStr">
        <is>
          <t>0.1.2</t>
        </is>
      </c>
      <c r="E18" s="14" t="inlineStr">
        <is>
          <t>Primera emisión. 90 requisitos con origen, método de verificación, criterio de aceptación, declaración del proveedor, evidencia y estado de verificación.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2026-10-21T08:52:18Z</dcterms:created>
  <dcterms:modified xmlns:dcterms="http://purl.org/dc/terms/" xmlns:xsi="http://www.w3.org/2001/XMLSchema-instance" xsi:type="dcterms:W3CDTF">2026-10-21T08:52:18Z</dcterms:modified>
</cp:coreProperties>
</file>