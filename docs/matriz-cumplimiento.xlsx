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1.4. Base: requisitos.md v1.6 · app 0.2.1 · roadmap 3.4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v1.6</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t>
        </is>
      </c>
      <c r="M5" s="5" t="inlineStr">
        <is>
          <t>Pendiente</t>
        </is>
      </c>
      <c r="N5" s="5" t="inlineStr">
        <is>
          <t>Auditor de requisitos</t>
        </is>
      </c>
      <c r="O5" s="5" t="inlineStr">
        <is>
          <t>Naming cerrado: se descarta Trasting.</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t>
        </is>
      </c>
      <c r="M6" s="5" t="inlineStr">
        <is>
          <t>Pendiente</t>
        </is>
      </c>
      <c r="N6" s="5" t="inlineStr">
        <is>
          <t>Cliente</t>
        </is>
      </c>
      <c r="O6" s="5" t="inlineStr">
        <is>
          <t>Escalas visible pero deshabilitada hasta F5.</t>
        </is>
      </c>
      <c r="P6" s="6" t="n"/>
      <c r="Q6" s="5" t="inlineStr"/>
    </row>
    <row r="7" ht="7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93"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Desarrollo · v1.1</t>
        </is>
      </c>
      <c r="F9" s="5" t="inlineStr">
        <is>
          <t>F3</t>
        </is>
      </c>
      <c r="G9" s="5" t="inlineStr">
        <is>
          <t>F3.4</t>
        </is>
      </c>
      <c r="H9" s="5" t="inlineStr">
        <is>
          <t>I+T</t>
        </is>
      </c>
      <c r="I9" s="5" t="inlineStr">
        <is>
          <t>Todo control es alcanzable con teclado y muestra el foco; contrastes ≥ 4,5:1 medidos; el movimiento se reduce con prefers-reduced-motion.</t>
        </is>
      </c>
      <c r="J9" s="5" t="inlineStr">
        <is>
          <t>Cumple parcialmente</t>
        </is>
      </c>
      <c r="K9" s="5" t="inlineStr">
        <is>
          <t>0.1.1</t>
        </is>
      </c>
      <c r="L9" s="5" t="inlineStr">
        <is>
          <t>—</t>
        </is>
      </c>
      <c r="M9" s="5" t="inlineStr">
        <is>
          <t>Pendiente</t>
        </is>
      </c>
      <c r="N9" s="5" t="inlineStr">
        <is>
          <t>Auditor técnico</t>
        </is>
      </c>
      <c r="O9" s="5" t="inlineStr">
        <is>
          <t>Hecho: foco visible, movimiento reducido, interruptores con role="switch" (0.1.1), aria-pressed en los selectores y aviso del reto para lectores de pantalla (0.1.2). Falta: recorrer el mástil con teclado y auditar el contraste.</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la app funciona completa —salvo el afinador por micrófono— abriendo el archivo directamente (file://), sin servidor y sin conexión.</t>
        </is>
      </c>
      <c r="D11" s="5" t="inlineStr">
        <is>
          <t>Alta</t>
        </is>
      </c>
      <c r="E11" s="5" t="inlineStr">
        <is>
          <t>Cliente · 15/09</t>
        </is>
      </c>
      <c r="F11" s="5" t="inlineStr">
        <is>
          <t>F2</t>
        </is>
      </c>
      <c r="G11" s="5" t="inlineStr">
        <is>
          <t>F2.3 · F2.5</t>
        </is>
      </c>
      <c r="H11" s="5" t="inlineStr">
        <is>
          <t>T</t>
        </is>
      </c>
      <c r="I11" s="5" t="inlineStr">
        <is>
          <t>Con el ordenador en modo avión, abrir el archivo con doble clic: suenan las muestras reales y funcionan Libre, Adivinar y el afinador por referencia.</t>
        </is>
      </c>
      <c r="J11" s="5" t="inlineStr">
        <is>
          <t>Cumple</t>
        </is>
      </c>
      <c r="K11" s="5" t="inlineStr">
        <is>
          <t>0.2.1</t>
        </is>
      </c>
      <c r="L11" s="5" t="inlineStr">
        <is>
          <t>V-03: dist/trasteando.html desde disco y sin conexión en Chromium, abre en 0,6 s y suena a menos de 1 cent · Banco (node --test): autónomo al día y sin descargas</t>
        </is>
      </c>
      <c r="M11" s="5" t="inlineStr">
        <is>
          <t>Verificado parcialmente</t>
        </is>
      </c>
      <c r="N11" s="5" t="inlineStr">
        <is>
          <t>Banco automático + auditor técnico</t>
        </is>
      </c>
      <c r="O11" s="5" t="inlineStr">
        <is>
          <t>Desde la 0.2.1 es dist/trasteando.html: la app con sus 16 grabaciones dentro, recortadas a 4,5 s (1,42 MB). Abierto desde disco y sin conexión en Chromium abre en 0,6 s, suena con la guitarra real y no intenta ninguna conexión (V-03). index.html no lleva el audio dentro: con doble clic suena el sintetizador. Falta probarlo en cada plataforma (F2.5). En iPhone no es viable: ver PL-03.</t>
        </is>
      </c>
      <c r="P11" s="6" t="n"/>
      <c r="Q11" s="5" t="inlineStr">
        <is>
          <t>Modificado</t>
        </is>
      </c>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t>
        </is>
      </c>
      <c r="P12" s="6" t="n"/>
      <c r="Q12" s="5" t="inlineStr">
        <is>
          <t>Modificado</t>
        </is>
      </c>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63"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t>
        </is>
      </c>
      <c r="M14" s="5" t="inlineStr">
        <is>
          <t>Verificado parcialmente</t>
        </is>
      </c>
      <c r="N14" s="5" t="inlineStr">
        <is>
          <t>Auditor de requisitos</t>
        </is>
      </c>
      <c r="O14" s="5" t="inlineStr">
        <is>
          <t>Vincula cada versión con su fase del roadmap. Cada fase cerrada se marca además con una etiqueta de Git (F1.4).</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120"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7" s="6" t="n"/>
      <c r="Q17" s="5" t="inlineStr"/>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row>
    <row r="19" ht="108" customHeight="1">
      <c r="A19" s="4" t="inlineStr">
        <is>
          <t>PL-04</t>
        </is>
      </c>
      <c r="B19" s="5" t="inlineStr">
        <is>
          <t>Plataformas</t>
        </is>
      </c>
      <c r="C19" s="5" t="inlineStr">
        <is>
          <t>Adaptabilidad entre sistemas: la app solo usa estándares web; detecta cada capacidad en lugar del sistema, y toda capacidad que no esté en Windows, Android e iPhone tiene alternativa, de modo que la app sigue funcionando donde falta.</t>
        </is>
      </c>
      <c r="D19" s="5" t="inlineStr">
        <is>
          <t>Alta</t>
        </is>
      </c>
      <c r="E19" s="5" t="inlineStr">
        <is>
          <t>Cliente · 14/10</t>
        </is>
      </c>
      <c r="F19" s="5" t="inlineStr">
        <is>
          <t>F2 · F3 · F7</t>
        </is>
      </c>
      <c r="G19" s="5" t="inlineStr">
        <is>
          <t>F2.2 · F3.2 · F7.2</t>
        </is>
      </c>
      <c r="H19" s="5" t="inlineStr">
        <is>
          <t>I+T</t>
        </is>
      </c>
      <c r="I19" s="5" t="inlineStr">
        <is>
          <t>Cada capacidad del navegador que usa la app figura en docs/compatibilidad.md con su comportamiento en Windows, Android e iPhone y su alternativa; el banco arranca la app sin vibración ni audio y funciona.</t>
        </is>
      </c>
      <c r="J19" s="5" t="inlineStr">
        <is>
          <t>Cumple parcialmente</t>
        </is>
      </c>
      <c r="K19" s="5" t="inlineStr">
        <is>
          <t>0.1.4</t>
        </is>
      </c>
      <c r="L19" s="5" t="inlineStr">
        <is>
          <t>docs/compatibilidad.md · Banco (node --test)</t>
        </is>
      </c>
      <c r="M19" s="5" t="inlineStr">
        <is>
          <t>Verificado parcialmente</t>
        </is>
      </c>
      <c r="N19" s="5" t="inlineStr">
        <is>
          <t>Cliente</t>
        </is>
      </c>
      <c r="O19"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t>
        </is>
      </c>
      <c r="P19" s="6" t="n"/>
      <c r="Q19" s="5" t="inlineStr"/>
    </row>
    <row r="20" ht="33" customHeight="1">
      <c r="A20" s="4" t="inlineStr">
        <is>
          <t>N-01</t>
        </is>
      </c>
      <c r="B20" s="5" t="inlineStr">
        <is>
          <t>Nomenclatura y notación</t>
        </is>
      </c>
      <c r="C20" s="5" t="inlineStr">
        <is>
          <t>Alternancia entre nomenclatura latina (Do, Re, Mi…) y anglosajona (C, D, E…).</t>
        </is>
      </c>
      <c r="D20" s="5" t="inlineStr">
        <is>
          <t>Alta</t>
        </is>
      </c>
      <c r="E20" s="5" t="inlineStr">
        <is>
          <t>Cliente · listado 14/09</t>
        </is>
      </c>
      <c r="F20" s="5" t="inlineStr">
        <is>
          <t>F1</t>
        </is>
      </c>
      <c r="G20" s="5" t="inlineStr">
        <is>
          <t>F1.1</t>
        </is>
      </c>
      <c r="H20" s="5" t="inlineStr">
        <is>
          <t>D</t>
        </is>
      </c>
      <c r="I20" s="5" t="inlineStr">
        <is>
          <t>El chip de nomenclatura alterna todos los nombres entre Do-Re-Mi y C-D-E.</t>
        </is>
      </c>
      <c r="J20" s="5" t="inlineStr">
        <is>
          <t>Cumple</t>
        </is>
      </c>
      <c r="K20" s="5" t="inlineStr">
        <is>
          <t>0.1.0</t>
        </is>
      </c>
      <c r="L20" s="5" t="inlineStr">
        <is>
          <t>F1.1 #6</t>
        </is>
      </c>
      <c r="M20" s="5" t="inlineStr">
        <is>
          <t>Pendiente</t>
        </is>
      </c>
      <c r="N20" s="5" t="inlineStr">
        <is>
          <t>Cliente</t>
        </is>
      </c>
      <c r="O20" s="5" t="inlineStr"/>
      <c r="P20" s="6" t="n"/>
      <c r="Q20" s="5" t="inlineStr"/>
    </row>
    <row r="21" ht="33" customHeight="1">
      <c r="A21" s="4" t="inlineStr">
        <is>
          <t>N-02</t>
        </is>
      </c>
      <c r="B21" s="5" t="inlineStr">
        <is>
          <t>Nomenclatura y notación</t>
        </is>
      </c>
      <c r="C21" s="5" t="inlineStr">
        <is>
          <t>El cambio de nomenclatura está en el menú de configuración.</t>
        </is>
      </c>
      <c r="D21" s="5" t="inlineStr">
        <is>
          <t>Alta</t>
        </is>
      </c>
      <c r="E21" s="5" t="inlineStr">
        <is>
          <t>Cliente · listado 14/09</t>
        </is>
      </c>
      <c r="F21" s="5" t="inlineStr">
        <is>
          <t>F1</t>
        </is>
      </c>
      <c r="G21" s="5" t="inlineStr">
        <is>
          <t>F1.1</t>
        </is>
      </c>
      <c r="H21" s="5" t="inlineStr">
        <is>
          <t>D</t>
        </is>
      </c>
      <c r="I21" s="5" t="inlineStr">
        <is>
          <t>El selector de Ajustes produce el mismo cambio que el chip.</t>
        </is>
      </c>
      <c r="J21" s="5" t="inlineStr">
        <is>
          <t>Cumple</t>
        </is>
      </c>
      <c r="K21" s="5" t="inlineStr">
        <is>
          <t>0.1.0</t>
        </is>
      </c>
      <c r="L21" s="5" t="inlineStr">
        <is>
          <t>F1.1 #14</t>
        </is>
      </c>
      <c r="M21" s="5" t="inlineStr">
        <is>
          <t>Pendiente</t>
        </is>
      </c>
      <c r="N21" s="5" t="inlineStr">
        <is>
          <t>Cliente</t>
        </is>
      </c>
      <c r="O21" s="5" t="inlineStr"/>
      <c r="P21" s="6" t="n"/>
      <c r="Q21" s="5" t="inlineStr"/>
    </row>
    <row r="22" ht="33" customHeight="1">
      <c r="A22" s="4" t="inlineStr">
        <is>
          <t>N-03</t>
        </is>
      </c>
      <c r="B22" s="5" t="inlineStr">
        <is>
          <t>Nomenclatura y notación</t>
        </is>
      </c>
      <c r="C22" s="5" t="inlineStr">
        <is>
          <t>El cambio de nomenclatura está además en la interfaz principal, sin abrir el menú.</t>
        </is>
      </c>
      <c r="D22" s="5" t="inlineStr">
        <is>
          <t>Alta</t>
        </is>
      </c>
      <c r="E22" s="5" t="inlineStr">
        <is>
          <t>Cliente · listado 14/09</t>
        </is>
      </c>
      <c r="F22" s="5" t="inlineStr">
        <is>
          <t>F1</t>
        </is>
      </c>
      <c r="G22" s="5" t="inlineStr">
        <is>
          <t>F1.1</t>
        </is>
      </c>
      <c r="H22" s="5" t="inlineStr">
        <is>
          <t>D</t>
        </is>
      </c>
      <c r="I22" s="5" t="inlineStr">
        <is>
          <t>El chip está visible en la barra de acceso rápido sin abrir ningún menú.</t>
        </is>
      </c>
      <c r="J22" s="5" t="inlineStr">
        <is>
          <t>Cumple</t>
        </is>
      </c>
      <c r="K22" s="5" t="inlineStr">
        <is>
          <t>0.1.0</t>
        </is>
      </c>
      <c r="L22" s="5" t="inlineStr">
        <is>
          <t>F1.1 #14</t>
        </is>
      </c>
      <c r="M22" s="5" t="inlineStr">
        <is>
          <t>Pendiente</t>
        </is>
      </c>
      <c r="N22" s="5" t="inlineStr">
        <is>
          <t>Cliente</t>
        </is>
      </c>
      <c r="O22" s="5" t="inlineStr">
        <is>
          <t>Chip en la barra de acceso rápido.</t>
        </is>
      </c>
      <c r="P22" s="6" t="n"/>
      <c r="Q22" s="5" t="inlineStr"/>
    </row>
    <row r="23" ht="33" customHeight="1">
      <c r="A23" s="4" t="inlineStr">
        <is>
          <t>N-04</t>
        </is>
      </c>
      <c r="B23" s="5" t="inlineStr">
        <is>
          <t>Nomenclatura y notación</t>
        </is>
      </c>
      <c r="C23" s="5" t="inlineStr">
        <is>
          <t>La nomenclatura se aplica de forma consistente en mástil, juego, afinador y pentagrama.</t>
        </is>
      </c>
      <c r="D23" s="5" t="inlineStr">
        <is>
          <t>Alta</t>
        </is>
      </c>
      <c r="E23" s="5" t="inlineStr">
        <is>
          <t>Cliente · listado 14/09</t>
        </is>
      </c>
      <c r="F23" s="5" t="inlineStr">
        <is>
          <t>F1</t>
        </is>
      </c>
      <c r="G23" s="5" t="inlineStr">
        <is>
          <t>F1.1</t>
        </is>
      </c>
      <c r="H23" s="5" t="inlineStr">
        <is>
          <t>D</t>
        </is>
      </c>
      <c r="I23" s="5" t="inlineStr">
        <is>
          <t>Tras cambiar la nomenclatura, mástil, cuerdas, lector de nota, pistas y afinador usan la nueva.</t>
        </is>
      </c>
      <c r="J23" s="5" t="inlineStr">
        <is>
          <t>Cumple</t>
        </is>
      </c>
      <c r="K23" s="5" t="inlineStr">
        <is>
          <t>0.1.0</t>
        </is>
      </c>
      <c r="L23" s="5" t="inlineStr">
        <is>
          <t>F1.1 #6</t>
        </is>
      </c>
      <c r="M23" s="5" t="inlineStr">
        <is>
          <t>Pendiente</t>
        </is>
      </c>
      <c r="N23" s="5" t="inlineStr">
        <is>
          <t>Cliente</t>
        </is>
      </c>
      <c r="O23" s="5" t="inlineStr">
        <is>
          <t>Verificar de nuevo al añadir Escalas (F5).</t>
        </is>
      </c>
      <c r="P23" s="6" t="n"/>
      <c r="Q23" s="5" t="inlineStr"/>
    </row>
    <row r="24" ht="33" customHeight="1">
      <c r="A24" s="4" t="inlineStr">
        <is>
          <t>N-05</t>
        </is>
      </c>
      <c r="B24" s="5" t="inlineStr">
        <is>
          <t>Nomenclatura y notación</t>
        </is>
      </c>
      <c r="C24" s="5" t="inlineStr">
        <is>
          <t>La nomenclatura persiste entre sesiones.</t>
        </is>
      </c>
      <c r="D24" s="5" t="inlineStr">
        <is>
          <t>Media</t>
        </is>
      </c>
      <c r="E24" s="5" t="inlineStr">
        <is>
          <t>Cliente · listado 14/09</t>
        </is>
      </c>
      <c r="F24" s="5" t="inlineStr">
        <is>
          <t>F1</t>
        </is>
      </c>
      <c r="G24" s="5" t="inlineStr">
        <is>
          <t>F1.1</t>
        </is>
      </c>
      <c r="H24" s="5" t="inlineStr">
        <is>
          <t>D</t>
        </is>
      </c>
      <c r="I24" s="5" t="inlineStr">
        <is>
          <t>Tras recargar la página se mantiene la nomenclatura elegida.</t>
        </is>
      </c>
      <c r="J24" s="5" t="inlineStr">
        <is>
          <t>Cumple</t>
        </is>
      </c>
      <c r="K24" s="5" t="inlineStr">
        <is>
          <t>0.1.0</t>
        </is>
      </c>
      <c r="L24" s="5" t="inlineStr">
        <is>
          <t>F1.1 #13</t>
        </is>
      </c>
      <c r="M24" s="5" t="inlineStr">
        <is>
          <t>Pendiente</t>
        </is>
      </c>
      <c r="N24" s="5" t="inlineStr">
        <is>
          <t>Cliente</t>
        </is>
      </c>
      <c r="O24" s="5" t="inlineStr">
        <is>
          <t>localStorage.</t>
        </is>
      </c>
      <c r="P24" s="6" t="n"/>
      <c r="Q24" s="5" t="inlineStr"/>
    </row>
    <row r="25" ht="33" customHeight="1">
      <c r="A25" s="4" t="inlineStr">
        <is>
          <t>D-01</t>
        </is>
      </c>
      <c r="B25" s="5" t="inlineStr">
        <is>
          <t>Diapasón</t>
        </is>
      </c>
      <c r="C25" s="5" t="inlineStr">
        <is>
          <t>Diagrama del mástil de 6 cuerdas.</t>
        </is>
      </c>
      <c r="D25" s="5" t="inlineStr">
        <is>
          <t>Alta</t>
        </is>
      </c>
      <c r="E25" s="5" t="inlineStr">
        <is>
          <t>Cliente · listado 14/09</t>
        </is>
      </c>
      <c r="F25" s="5" t="inlineStr">
        <is>
          <t>F1</t>
        </is>
      </c>
      <c r="G25" s="5" t="inlineStr">
        <is>
          <t>F1.1</t>
        </is>
      </c>
      <c r="H25" s="5" t="inlineStr">
        <is>
          <t>I</t>
        </is>
      </c>
      <c r="I25" s="5" t="inlineStr">
        <is>
          <t>Se dibujan 6 cuerdas con 25 posiciones cada una: cejuela y 24 trastes.</t>
        </is>
      </c>
      <c r="J25" s="5" t="inlineStr">
        <is>
          <t>Cumple</t>
        </is>
      </c>
      <c r="K25" s="5" t="inlineStr">
        <is>
          <t>0.1.0</t>
        </is>
      </c>
      <c r="L25" s="5" t="inlineStr">
        <is>
          <t>Banco (node --test): 150 celdas</t>
        </is>
      </c>
      <c r="M25" s="5" t="inlineStr">
        <is>
          <t>Verificado parcialmente</t>
        </is>
      </c>
      <c r="N25" s="5" t="inlineStr">
        <is>
          <t>Auditor de requisitos</t>
        </is>
      </c>
      <c r="O25" s="5" t="inlineStr"/>
      <c r="P25" s="6" t="n"/>
      <c r="Q25" s="5" t="inlineStr"/>
    </row>
    <row r="26" ht="33" customHeight="1">
      <c r="A26" s="4" t="inlineStr">
        <is>
          <t>D-02</t>
        </is>
      </c>
      <c r="B26" s="5" t="inlineStr">
        <is>
          <t>Diapasón</t>
        </is>
      </c>
      <c r="C26" s="5" t="inlineStr">
        <is>
          <t>Cada cuerda muestra a la izquierda su nota al aire, derivada de la afinación activa.</t>
        </is>
      </c>
      <c r="D26" s="5" t="inlineStr">
        <is>
          <t>Alta</t>
        </is>
      </c>
      <c r="E26" s="5" t="inlineStr">
        <is>
          <t>Cliente · listado 14/09</t>
        </is>
      </c>
      <c r="F26" s="5" t="inlineStr">
        <is>
          <t>F1</t>
        </is>
      </c>
      <c r="G26" s="5" t="inlineStr">
        <is>
          <t>F1.1</t>
        </is>
      </c>
      <c r="H26" s="5" t="inlineStr">
        <is>
          <t>D</t>
        </is>
      </c>
      <c r="I26" s="5" t="inlineStr">
        <is>
          <t>La etiqueta de cada cuerda coincide con la afinación activa y cambia al cambiarla.</t>
        </is>
      </c>
      <c r="J26" s="5" t="inlineStr">
        <is>
          <t>Cumple</t>
        </is>
      </c>
      <c r="K26" s="5" t="inlineStr">
        <is>
          <t>0.1.0</t>
        </is>
      </c>
      <c r="L26" s="5" t="inlineStr">
        <is>
          <t>Banco (node --test): Drop D</t>
        </is>
      </c>
      <c r="M26" s="5" t="inlineStr">
        <is>
          <t>Verificado parcialmente</t>
        </is>
      </c>
      <c r="N26" s="5" t="inlineStr">
        <is>
          <t>Cliente</t>
        </is>
      </c>
      <c r="O26" s="5" t="inlineStr">
        <is>
          <t>Se actualiza sola al cambiar de afinación (A-10).</t>
        </is>
      </c>
      <c r="P26" s="6" t="n"/>
      <c r="Q26" s="5" t="inlineStr"/>
    </row>
    <row r="27" ht="48" customHeight="1">
      <c r="A27" s="4" t="inlineStr">
        <is>
          <t>D-03</t>
        </is>
      </c>
      <c r="B27" s="5" t="inlineStr">
        <is>
          <t>Diapasón</t>
        </is>
      </c>
      <c r="C27" s="5" t="inlineStr">
        <is>
          <t>Cada traste muestra su número alineado exactamente sobre la franja donde se pulsa.</t>
        </is>
      </c>
      <c r="D27" s="5" t="inlineStr">
        <is>
          <t>Alta</t>
        </is>
      </c>
      <c r="E27" s="5" t="inlineStr">
        <is>
          <t>Cliente · listado 14/09</t>
        </is>
      </c>
      <c r="F27" s="5" t="inlineStr">
        <is>
          <t>F1</t>
        </is>
      </c>
      <c r="G27" s="5" t="inlineStr">
        <is>
          <t>F1.1</t>
        </is>
      </c>
      <c r="H27" s="5" t="inlineStr">
        <is>
          <t>I</t>
        </is>
      </c>
      <c r="I27" s="5" t="inlineStr">
        <is>
          <t>Cada número de traste queda centrado sobre su franja con cualquier nivel de zoom.</t>
        </is>
      </c>
      <c r="J27" s="5" t="inlineStr">
        <is>
          <t>Cumple</t>
        </is>
      </c>
      <c r="K27" s="5" t="inlineStr">
        <is>
          <t>0.1.0</t>
        </is>
      </c>
      <c r="L27" s="5" t="inlineStr">
        <is>
          <t>F1.1 #7</t>
        </is>
      </c>
      <c r="M27" s="5" t="inlineStr">
        <is>
          <t>Pendiente</t>
        </is>
      </c>
      <c r="N27" s="5" t="inlineStr">
        <is>
          <t>Auditor de requisitos</t>
        </is>
      </c>
      <c r="O27" s="5" t="inlineStr">
        <is>
          <t>La fila de números comparte las mismas variables de ancho (--label-w, --nut-w, --fret-w) que las celdas.</t>
        </is>
      </c>
      <c r="P27" s="6" t="n"/>
      <c r="Q27" s="5" t="inlineStr"/>
    </row>
    <row r="28" ht="48" customHeight="1">
      <c r="A28" s="4" t="inlineStr">
        <is>
          <t>D-04</t>
        </is>
      </c>
      <c r="B28" s="5" t="inlineStr">
        <is>
          <t>Diapasón</t>
        </is>
      </c>
      <c r="C28" s="5" t="inlineStr">
        <is>
          <t>La numeración de trastes tiene tres modos: todos, guía (solo los trastes con marca) y ninguno.</t>
        </is>
      </c>
      <c r="D28" s="5" t="inlineStr">
        <is>
          <t>Media</t>
        </is>
      </c>
      <c r="E28" s="5" t="inlineStr">
        <is>
          <t>Cliente · listado 14/09</t>
        </is>
      </c>
      <c r="F28" s="5" t="inlineStr">
        <is>
          <t>F1</t>
        </is>
      </c>
      <c r="G28" s="5" t="inlineStr">
        <is>
          <t>F1.3</t>
        </is>
      </c>
      <c r="H28" s="5" t="inlineStr">
        <is>
          <t>T</t>
        </is>
      </c>
      <c r="I28" s="5" t="inlineStr">
        <is>
          <t>Los modos Todos, Guía y No muestran todos los números, solo los de trastes con marca, o ninguno.</t>
        </is>
      </c>
      <c r="J28" s="5" t="inlineStr">
        <is>
          <t>Cumple</t>
        </is>
      </c>
      <c r="K28" s="5" t="inlineStr">
        <is>
          <t>0.1.2</t>
        </is>
      </c>
      <c r="L28" s="5" t="inlineStr">
        <is>
          <t>Banco (node --test) · F1.1 #11</t>
        </is>
      </c>
      <c r="M28" s="5" t="inlineStr">
        <is>
          <t>Verificado parcialmente</t>
        </is>
      </c>
      <c r="N28" s="5" t="inlineStr">
        <is>
          <t>Banco automático + auditor técnico</t>
        </is>
      </c>
      <c r="O28" s="5" t="inlineStr">
        <is>
          <t>Sustituye al interruptor de la 0.1.1; quien lo tuviera apagado pasa automáticamente a «ninguno».</t>
        </is>
      </c>
      <c r="P28" s="6" t="n"/>
      <c r="Q28" s="5" t="inlineStr"/>
    </row>
    <row r="29" ht="33" customHeight="1">
      <c r="A29" s="4" t="inlineStr">
        <is>
          <t>D-05</t>
        </is>
      </c>
      <c r="B29" s="5" t="inlineStr">
        <is>
          <t>Diapasón</t>
        </is>
      </c>
      <c r="C29" s="5" t="inlineStr">
        <is>
          <t>Al pulsar una posición suena esa nota.</t>
        </is>
      </c>
      <c r="D29" s="5" t="inlineStr">
        <is>
          <t>Alta</t>
        </is>
      </c>
      <c r="E29" s="5" t="inlineStr">
        <is>
          <t>Cliente · listado 14/09</t>
        </is>
      </c>
      <c r="F29" s="5" t="inlineStr">
        <is>
          <t>F1</t>
        </is>
      </c>
      <c r="G29" s="5" t="inlineStr">
        <is>
          <t>F1.1</t>
        </is>
      </c>
      <c r="H29" s="5" t="inlineStr">
        <is>
          <t>D</t>
        </is>
      </c>
      <c r="I29" s="5" t="inlineStr">
        <is>
          <t>Pulsar una posición reproduce su nota sin retardo perceptible.</t>
        </is>
      </c>
      <c r="J29" s="5" t="inlineStr">
        <is>
          <t>Cumple</t>
        </is>
      </c>
      <c r="K29" s="5" t="inlineStr">
        <is>
          <t>0.1.0</t>
        </is>
      </c>
      <c r="L29" s="5" t="inlineStr">
        <is>
          <t>F1.1 #2</t>
        </is>
      </c>
      <c r="M29" s="5" t="inlineStr">
        <is>
          <t>Pendiente</t>
        </is>
      </c>
      <c r="N29" s="5" t="inlineStr">
        <is>
          <t>Cliente</t>
        </is>
      </c>
      <c r="O29" s="5" t="inlineStr"/>
      <c r="P29" s="6" t="n"/>
      <c r="Q29" s="5" t="inlineStr"/>
    </row>
    <row r="30" ht="33" customHeight="1">
      <c r="A30" s="4" t="inlineStr">
        <is>
          <t>D-06</t>
        </is>
      </c>
      <c r="B30" s="5" t="inlineStr">
        <is>
          <t>Diapasón</t>
        </is>
      </c>
      <c r="C30" s="5" t="inlineStr">
        <is>
          <t>Al pulsar una posición aparece el nombre de la nota en la nomenclatura activa.</t>
        </is>
      </c>
      <c r="D30" s="5" t="inlineStr">
        <is>
          <t>Alta</t>
        </is>
      </c>
      <c r="E30" s="5" t="inlineStr">
        <is>
          <t>Cliente · listado 14/09</t>
        </is>
      </c>
      <c r="F30" s="5" t="inlineStr">
        <is>
          <t>F1</t>
        </is>
      </c>
      <c r="G30" s="5" t="inlineStr">
        <is>
          <t>F1.1</t>
        </is>
      </c>
      <c r="H30" s="5" t="inlineStr">
        <is>
          <t>D</t>
        </is>
      </c>
      <c r="I30" s="5" t="inlineStr">
        <is>
          <t>Al pulsar aparece el nombre de la nota sobre la posición.</t>
        </is>
      </c>
      <c r="J30" s="5" t="inlineStr">
        <is>
          <t>Cumple</t>
        </is>
      </c>
      <c r="K30" s="5" t="inlineStr">
        <is>
          <t>0.1.0</t>
        </is>
      </c>
      <c r="L30" s="5" t="inlineStr">
        <is>
          <t>F1.1 #14</t>
        </is>
      </c>
      <c r="M30" s="5" t="inlineStr">
        <is>
          <t>Pendiente</t>
        </is>
      </c>
      <c r="N30" s="5" t="inlineStr">
        <is>
          <t>Cliente</t>
        </is>
      </c>
      <c r="O30" s="5" t="inlineStr"/>
      <c r="P30" s="6" t="n"/>
      <c r="Q30" s="5" t="inlineStr"/>
    </row>
    <row r="31" ht="33" customHeight="1">
      <c r="A31" s="4" t="inlineStr">
        <is>
          <t>D-07</t>
        </is>
      </c>
      <c r="B31" s="5" t="inlineStr">
        <is>
          <t>Diapasón</t>
        </is>
      </c>
      <c r="C31" s="5" t="inlineStr">
        <is>
          <t>Marcadores de posición en los trastes habituales (3, 5, 7, 9, 12, 15, 17, 19, 21, 24).</t>
        </is>
      </c>
      <c r="D31" s="5" t="inlineStr">
        <is>
          <t>Media</t>
        </is>
      </c>
      <c r="E31" s="5" t="inlineStr">
        <is>
          <t>Cliente · listado 14/09</t>
        </is>
      </c>
      <c r="F31" s="5" t="inlineStr">
        <is>
          <t>F1</t>
        </is>
      </c>
      <c r="G31" s="5" t="inlineStr">
        <is>
          <t>F1.1</t>
        </is>
      </c>
      <c r="H31" s="5" t="inlineStr">
        <is>
          <t>I</t>
        </is>
      </c>
      <c r="I31" s="5" t="inlineStr">
        <is>
          <t>Marcas simples en los trastes 3, 5, 7, 9, 15, 17, 19 y 21, y dobles en 12 y 24.</t>
        </is>
      </c>
      <c r="J31" s="5" t="inlineStr">
        <is>
          <t>Cumple</t>
        </is>
      </c>
      <c r="K31" s="5" t="inlineStr">
        <is>
          <t>0.1.0</t>
        </is>
      </c>
      <c r="L31" s="5" t="inlineStr">
        <is>
          <t>F1.1 #14</t>
        </is>
      </c>
      <c r="M31" s="5" t="inlineStr">
        <is>
          <t>Pendiente</t>
        </is>
      </c>
      <c r="N31" s="5" t="inlineStr">
        <is>
          <t>Auditor de requisitos</t>
        </is>
      </c>
      <c r="O31" s="5" t="inlineStr"/>
      <c r="P31" s="6" t="n"/>
      <c r="Q31" s="5" t="inlineStr"/>
    </row>
    <row r="32" ht="120" customHeight="1">
      <c r="A32" s="4" t="inlineStr">
        <is>
          <t>S-01</t>
        </is>
      </c>
      <c r="B32" s="5" t="inlineStr">
        <is>
          <t>Sonido</t>
        </is>
      </c>
      <c r="C32" s="5" t="inlineStr">
        <is>
          <t>El sonido corresponde a una guitarra real, no a un sintetizador genérico.</t>
        </is>
      </c>
      <c r="D32" s="5" t="inlineStr">
        <is>
          <t>Alta</t>
        </is>
      </c>
      <c r="E32" s="5" t="inlineStr">
        <is>
          <t>Cliente · listado 14/09</t>
        </is>
      </c>
      <c r="F32" s="5" t="inlineStr">
        <is>
          <t>F1 · F2</t>
        </is>
      </c>
      <c r="G32" s="5" t="inlineStr">
        <is>
          <t>F1.1 · F2.2 · F2.4</t>
        </is>
      </c>
      <c r="H32" s="5" t="inlineStr">
        <is>
          <t>D</t>
        </is>
      </c>
      <c r="I32" s="5" t="inlineStr">
        <is>
          <t>Al pulsar cualquier posición suena una muestra grabada, no el sintetizador Karplus-Strong.</t>
        </is>
      </c>
      <c r="J32" s="5" t="inlineStr">
        <is>
          <t>Cumple</t>
        </is>
      </c>
      <c r="K32" s="5" t="inlineStr">
        <is>
          <t>0.1.0</t>
        </is>
      </c>
      <c r="L32" s="5" t="inlineStr">
        <is>
          <t>F1.1 #14 y #15</t>
        </is>
      </c>
      <c r="M32" s="5" t="inlineStr">
        <is>
          <t>Pendiente</t>
        </is>
      </c>
      <c r="N32" s="5" t="inlineStr">
        <is>
          <t>Cliente</t>
        </is>
      </c>
      <c r="O32" s="5" t="inlineStr">
        <is>
          <t>Desde la 0.2.0 suena con un reproductor propio y las grabaciones de samples/, sin Tone.js (F2.2). Grabado en el navegador, de la 6ª al aire al traste 24 de la 1ª y en los dos timbres, cada nota suena a menos de 1 cent de su frecuencia. La 0.1.3 corrigió el registro agudo de la guitarra clásica, que sonaba medio tono alto (S-08).</t>
        </is>
      </c>
      <c r="P32" s="6" t="n"/>
      <c r="Q32" s="5" t="inlineStr"/>
    </row>
    <row r="33" ht="63" customHeight="1">
      <c r="A33" s="4" t="inlineStr">
        <is>
          <t>S-02</t>
        </is>
      </c>
      <c r="B33" s="5" t="inlineStr">
        <is>
          <t>Sonido</t>
        </is>
      </c>
      <c r="C33" s="5" t="inlineStr">
        <is>
          <t>El usuario elige entre guitarra clásica (nylon) y acústica (acero).</t>
        </is>
      </c>
      <c r="D33" s="5" t="inlineStr">
        <is>
          <t>Alta</t>
        </is>
      </c>
      <c r="E33" s="5" t="inlineStr">
        <is>
          <t>Cliente · listado 14/09</t>
        </is>
      </c>
      <c r="F33" s="5" t="inlineStr">
        <is>
          <t>F1</t>
        </is>
      </c>
      <c r="G33" s="5" t="inlineStr">
        <is>
          <t>F1.1</t>
        </is>
      </c>
      <c r="H33" s="5" t="inlineStr">
        <is>
          <t>D</t>
        </is>
      </c>
      <c r="I33" s="5" t="inlineStr">
        <is>
          <t>Elegir Acústica cambia el timbre audible y elegir Clásica lo devuelve.</t>
        </is>
      </c>
      <c r="J33" s="5" t="inlineStr">
        <is>
          <t>Cumple</t>
        </is>
      </c>
      <c r="K33" s="5" t="inlineStr">
        <is>
          <t>0.1.0</t>
        </is>
      </c>
      <c r="L33" s="5" t="inlineStr">
        <is>
          <t>F1.1 #5</t>
        </is>
      </c>
      <c r="M33" s="5" t="inlineStr">
        <is>
          <t>Pendiente</t>
        </is>
      </c>
      <c r="N33" s="5" t="inlineStr">
        <is>
          <t>Cliente</t>
        </is>
      </c>
      <c r="O33" s="5" t="inlineStr">
        <is>
          <t>Cambiar de timbre descarga otro set de muestras, con aviso. Desde 0.1.2, dos cambios seguidos ya no muestran el mensaje de la carga descartada.</t>
        </is>
      </c>
      <c r="P33" s="6" t="n"/>
      <c r="Q33" s="5" t="inlineStr"/>
    </row>
    <row r="34" ht="33" customHeight="1">
      <c r="A34" s="4" t="inlineStr">
        <is>
          <t>S-03</t>
        </is>
      </c>
      <c r="B34" s="5" t="inlineStr">
        <is>
          <t>Sonido</t>
        </is>
      </c>
      <c r="C34" s="5" t="inlineStr">
        <is>
          <t>La selección de timbre está en el menú de configuración.</t>
        </is>
      </c>
      <c r="D34" s="5" t="inlineStr">
        <is>
          <t>Alta</t>
        </is>
      </c>
      <c r="E34" s="5" t="inlineStr">
        <is>
          <t>Cliente · listado 14/09</t>
        </is>
      </c>
      <c r="F34" s="5" t="inlineStr">
        <is>
          <t>F1</t>
        </is>
      </c>
      <c r="G34" s="5" t="inlineStr">
        <is>
          <t>F1.1</t>
        </is>
      </c>
      <c r="H34" s="5" t="inlineStr">
        <is>
          <t>I</t>
        </is>
      </c>
      <c r="I34" s="5" t="inlineStr">
        <is>
          <t>El selector de timbre está en Ajustes.</t>
        </is>
      </c>
      <c r="J34" s="5" t="inlineStr">
        <is>
          <t>Cumple</t>
        </is>
      </c>
      <c r="K34" s="5" t="inlineStr">
        <is>
          <t>0.1.0</t>
        </is>
      </c>
      <c r="L34" s="5" t="inlineStr">
        <is>
          <t>F1.1 #14</t>
        </is>
      </c>
      <c r="M34" s="5" t="inlineStr">
        <is>
          <t>Pendiente</t>
        </is>
      </c>
      <c r="N34" s="5" t="inlineStr">
        <is>
          <t>Auditor de requisitos</t>
        </is>
      </c>
      <c r="O34" s="5" t="inlineStr"/>
      <c r="P34" s="6" t="n"/>
      <c r="Q34" s="5" t="inlineStr"/>
    </row>
    <row r="35" ht="48" customHeight="1">
      <c r="A35" s="4" t="inlineStr">
        <is>
          <t>S-04</t>
        </is>
      </c>
      <c r="B35" s="5" t="inlineStr">
        <is>
          <t>Sonido</t>
        </is>
      </c>
      <c r="C35" s="5" t="inlineStr">
        <is>
          <t>Si los samples no cargan, la app sigue sonando por síntesis.</t>
        </is>
      </c>
      <c r="D35" s="5" t="inlineStr">
        <is>
          <t>Media</t>
        </is>
      </c>
      <c r="E35" s="5" t="inlineStr">
        <is>
          <t>Cliente · listado 14/09</t>
        </is>
      </c>
      <c r="F35" s="5" t="inlineStr">
        <is>
          <t>F1</t>
        </is>
      </c>
      <c r="G35" s="5" t="inlineStr">
        <is>
          <t>F1.1</t>
        </is>
      </c>
      <c r="H35" s="5" t="inlineStr">
        <is>
          <t>T</t>
        </is>
      </c>
      <c r="I35" s="5" t="inlineStr">
        <is>
          <t>Sin conexión, la app suena con el sintetizador y lo avisa en la pantalla de entrada.</t>
        </is>
      </c>
      <c r="J35" s="5" t="inlineStr">
        <is>
          <t>Cumple</t>
        </is>
      </c>
      <c r="K35" s="5" t="inlineStr">
        <is>
          <t>0.1.0</t>
        </is>
      </c>
      <c r="L35" s="5" t="inlineStr">
        <is>
          <t>—</t>
        </is>
      </c>
      <c r="M35" s="5" t="inlineStr">
        <is>
          <t>Pendiente</t>
        </is>
      </c>
      <c r="N35" s="5" t="inlineStr">
        <is>
          <t>Banco automático + auditor técnico</t>
        </is>
      </c>
      <c r="O35" s="5" t="inlineStr">
        <is>
          <t>Karplus-Strong con filtros que imitan la caja de resonancia. Desde 0.1.1 cada nota se calcula una sola vez y se reutiliza.</t>
        </is>
      </c>
      <c r="P35" s="6" t="n"/>
      <c r="Q35" s="5" t="inlineStr"/>
    </row>
    <row r="36" ht="33" customHeight="1">
      <c r="A36" s="4" t="inlineStr">
        <is>
          <t>S-05</t>
        </is>
      </c>
      <c r="B36" s="5" t="inlineStr">
        <is>
          <t>Sonido</t>
        </is>
      </c>
      <c r="C36" s="5" t="inlineStr">
        <is>
          <t>El primer sonido requiere una interacción explícita del usuario.</t>
        </is>
      </c>
      <c r="D36" s="5" t="inlineStr">
        <is>
          <t>Alta</t>
        </is>
      </c>
      <c r="E36" s="5" t="inlineStr">
        <is>
          <t>Cliente · listado 14/09</t>
        </is>
      </c>
      <c r="F36" s="5" t="inlineStr">
        <is>
          <t>F1</t>
        </is>
      </c>
      <c r="G36" s="5" t="inlineStr">
        <is>
          <t>F1.1</t>
        </is>
      </c>
      <c r="H36" s="5" t="inlineStr">
        <is>
          <t>D</t>
        </is>
      </c>
      <c r="I36" s="5" t="inlineStr">
        <is>
          <t>No suena nada antes de pulsar «Empezar».</t>
        </is>
      </c>
      <c r="J36" s="5" t="inlineStr">
        <is>
          <t>Cumple</t>
        </is>
      </c>
      <c r="K36" s="5" t="inlineStr">
        <is>
          <t>0.1.0</t>
        </is>
      </c>
      <c r="L36" s="5" t="inlineStr">
        <is>
          <t>F1.1 #14</t>
        </is>
      </c>
      <c r="M36" s="5" t="inlineStr">
        <is>
          <t>Pendiente</t>
        </is>
      </c>
      <c r="N36" s="5" t="inlineStr">
        <is>
          <t>Cliente</t>
        </is>
      </c>
      <c r="O36" s="5" t="inlineStr">
        <is>
          <t>Lo impone la política de reproducción automática de los navegadores.</t>
        </is>
      </c>
      <c r="P36" s="6" t="n"/>
      <c r="Q36" s="5" t="inlineStr"/>
    </row>
    <row r="37" ht="33" customHeight="1">
      <c r="A37" s="4" t="inlineStr">
        <is>
          <t>S-06</t>
        </is>
      </c>
      <c r="B37" s="5" t="inlineStr">
        <is>
          <t>Sonido</t>
        </is>
      </c>
      <c r="C37" s="5" t="inlineStr">
        <is>
          <t>El timbre persiste entre sesiones.</t>
        </is>
      </c>
      <c r="D37" s="5" t="inlineStr">
        <is>
          <t>Media</t>
        </is>
      </c>
      <c r="E37" s="5" t="inlineStr">
        <is>
          <t>Cliente · listado 14/09</t>
        </is>
      </c>
      <c r="F37" s="5" t="inlineStr">
        <is>
          <t>F1</t>
        </is>
      </c>
      <c r="G37" s="5" t="inlineStr">
        <is>
          <t>F1.1</t>
        </is>
      </c>
      <c r="H37" s="5" t="inlineStr">
        <is>
          <t>D</t>
        </is>
      </c>
      <c r="I37" s="5" t="inlineStr">
        <is>
          <t>Tras recargar se mantiene el timbre elegido.</t>
        </is>
      </c>
      <c r="J37" s="5" t="inlineStr">
        <is>
          <t>Cumple</t>
        </is>
      </c>
      <c r="K37" s="5" t="inlineStr">
        <is>
          <t>0.1.0</t>
        </is>
      </c>
      <c r="L37" s="5" t="inlineStr">
        <is>
          <t>F1.1 #13</t>
        </is>
      </c>
      <c r="M37" s="5" t="inlineStr">
        <is>
          <t>Pendiente</t>
        </is>
      </c>
      <c r="N37" s="5" t="inlineStr">
        <is>
          <t>Cliente</t>
        </is>
      </c>
      <c r="O37" s="5" t="inlineStr"/>
      <c r="P37" s="6" t="n"/>
      <c r="Q37" s="5" t="inlineStr"/>
    </row>
    <row r="38" ht="120" customHeight="1">
      <c r="A38" s="4" t="inlineStr">
        <is>
          <t>S-07</t>
        </is>
      </c>
      <c r="B38" s="5" t="inlineStr">
        <is>
          <t>Sonido</t>
        </is>
      </c>
      <c r="C38" s="5" t="inlineStr">
        <is>
          <t>Los samples de audio se alojan en el propio proyecto, con licencia verificada y documentada.</t>
        </is>
      </c>
      <c r="D38" s="5" t="inlineStr">
        <is>
          <t>Alta</t>
        </is>
      </c>
      <c r="E38" s="5" t="inlineStr">
        <is>
          <t>AR-01</t>
        </is>
      </c>
      <c r="F38" s="5" t="inlineStr">
        <is>
          <t>F2</t>
        </is>
      </c>
      <c r="G38" s="5" t="inlineStr">
        <is>
          <t>F2.1 · F2.3</t>
        </is>
      </c>
      <c r="H38" s="5" t="inlineStr">
        <is>
          <t>I</t>
        </is>
      </c>
      <c r="I38" s="5" t="inlineStr">
        <is>
          <t>Ninguna petición de audio sale del dominio propio, y CREDITOS.md documenta origen y licencia.</t>
        </is>
      </c>
      <c r="J38" s="5" t="inlineStr">
        <is>
          <t>Cumple parcialmente</t>
        </is>
      </c>
      <c r="K38" s="5" t="inlineStr">
        <is>
          <t>—</t>
        </is>
      </c>
      <c r="L38" s="5" t="inlineStr">
        <is>
          <t>CREDITOS.md y samples/ (F2.1) · Banco (node --test): ninguna dirección externa (0.2.0)</t>
        </is>
      </c>
      <c r="M38" s="5" t="inlineStr">
        <is>
          <t>Verificado parcialmente</t>
        </is>
      </c>
      <c r="N38" s="5" t="inlineStr">
        <is>
          <t>Auditor de requisitos</t>
        </is>
      </c>
      <c r="O38" s="5" t="inlineStr">
        <is>
          <t>Opción A, decidida el 14/10. Hecho: licencias verificadas y los 16 archivos en samples/, con CREDITOS.md (F2.1); desde la 0.2.0 la app los usa y no descarga nada de otros servidores (F2.2). Desde la 0.2.1 van también dentro del archivo autónomo (F2.3). Falta confirmar que todos los sonidos del pack de nylon comparten la licencia comprobada en uno de ellos: estaba previsto antes de F2.3 y pasa a ser condición antes de publicar (F7).</t>
        </is>
      </c>
      <c r="P38" s="6" t="n"/>
      <c r="Q38" s="5" t="inlineStr">
        <is>
          <t>Modificado</t>
        </is>
      </c>
    </row>
    <row r="39" ht="120" customHeight="1">
      <c r="A39" s="4" t="inlineStr">
        <is>
          <t>S-08</t>
        </is>
      </c>
      <c r="B39" s="5" t="inlineStr">
        <is>
          <t>Sonido</t>
        </is>
      </c>
      <c r="C39" s="5" t="inlineStr">
        <is>
          <t>Cada muestra que usa la app suena en la nota a la que está asignada, con una desviación máxima de ±5 cents.</t>
        </is>
      </c>
      <c r="D39" s="5" t="inlineStr">
        <is>
          <t>Alta</t>
        </is>
      </c>
      <c r="E39" s="5" t="inlineStr">
        <is>
          <t>Desarrollo · medición F2.1</t>
        </is>
      </c>
      <c r="F39" s="5" t="inlineStr">
        <is>
          <t>F2</t>
        </is>
      </c>
      <c r="G39" s="5" t="inlineStr">
        <is>
          <t>F2.1 · F2.2 · F2.4</t>
        </is>
      </c>
      <c r="H39" s="5" t="inlineStr">
        <is>
          <t>T</t>
        </is>
      </c>
      <c r="I39" s="5" t="inlineStr">
        <is>
          <t>Medida con herramientas/medir-afinacion.py, cada muestra que usa la app suena a ±5 cents de la nota a la que está asignada; el banco lo comprueba contra la frecuencia medida y la huella sha256 de cada archivo.</t>
        </is>
      </c>
      <c r="J39" s="5" t="inlineStr">
        <is>
          <t>Cumple</t>
        </is>
      </c>
      <c r="K39" s="5" t="inlineStr">
        <is>
          <t>0.1.3</t>
        </is>
      </c>
      <c r="L39" s="5" t="inlineStr">
        <is>
          <t>samples/afinacion.json · Banco (node --test): muestras y todas las notas · V-02: 22 notas grabadas en el navegador, a menos de 1 cent</t>
        </is>
      </c>
      <c r="M39" s="5" t="inlineStr">
        <is>
          <t>Verificado</t>
        </is>
      </c>
      <c r="N39" s="5" t="inlineStr">
        <is>
          <t>Banco automático + auditor técnico</t>
        </is>
      </c>
      <c r="O39" s="5" t="inlineStr">
        <is>
          <t>Origen: la medición de F2.1 encontró que el D5.mp3 de nylon suena en Re♯5 (+101 cents); con la 0.1.2, todo el registro agudo de la guitarra clásica sonaba medio tono alto. Sostiene también la precisión del afinador por referencia (A-01). Validado en la 0.2.0: la app usa las copias medidas de samples/ y corrige su desviación; el banco lo comprueba para todas las notas posibles y la grabación en el navegador lo confirma (V-02). F2.4 lo aplica a cada muestra nueva.</t>
        </is>
      </c>
      <c r="P39" s="6" t="n"/>
      <c r="Q39" s="5" t="inlineStr"/>
    </row>
    <row r="40" ht="78" customHeight="1">
      <c r="A40" s="4" t="inlineStr">
        <is>
          <t>P-01</t>
        </is>
      </c>
      <c r="B40" s="5" t="inlineStr">
        <is>
          <t>Pentagrama</t>
        </is>
      </c>
      <c r="C40" s="5" t="inlineStr">
        <is>
          <t>Al pulsar una nota en el mástil, se representa en el pentagrama.</t>
        </is>
      </c>
      <c r="D40" s="5" t="inlineStr">
        <is>
          <t>Alta</t>
        </is>
      </c>
      <c r="E40" s="5" t="inlineStr">
        <is>
          <t>Cliente · listado 14/09</t>
        </is>
      </c>
      <c r="F40" s="5" t="inlineStr">
        <is>
          <t>F1</t>
        </is>
      </c>
      <c r="G40" s="5" t="inlineStr">
        <is>
          <t>F1.1</t>
        </is>
      </c>
      <c r="H40" s="5" t="inlineStr">
        <is>
          <t>A</t>
        </is>
      </c>
      <c r="I40" s="5" t="inlineStr">
        <is>
          <t>Toda posición del mástil, en cualquier afinación permitida, se dibuja dentro del pentagrama.</t>
        </is>
      </c>
      <c r="J40" s="5" t="inlineStr">
        <is>
          <t>Cumple</t>
        </is>
      </c>
      <c r="K40" s="5" t="inlineStr">
        <is>
          <t>0.1.0</t>
        </is>
      </c>
      <c r="L40" s="5" t="inlineStr">
        <is>
          <t>Análisis 15/09: ninguna nota fuera en todo el rango · F1.1 #3 y #4</t>
        </is>
      </c>
      <c r="M40" s="5" t="inlineStr">
        <is>
          <t>Verificado parcialmente</t>
        </is>
      </c>
      <c r="N40" s="5" t="inlineStr">
        <is>
          <t>Auditor técnico</t>
        </is>
      </c>
      <c r="O40" s="5" t="inlineStr">
        <is>
          <t>Clave de sol octavada. Desde 0.1.1 las notas muy agudas o graves se dibujan transportadas con 8va, 15ma u 8vb, y la clave es un trazado propio que no depende de las fuentes del sistema.</t>
        </is>
      </c>
      <c r="P40" s="6" t="n"/>
      <c r="Q40" s="5" t="inlineStr"/>
    </row>
    <row r="41" ht="33" customHeight="1">
      <c r="A41" s="4" t="inlineStr">
        <is>
          <t>P-02</t>
        </is>
      </c>
      <c r="B41" s="5" t="inlineStr">
        <is>
          <t>Pentagrama</t>
        </is>
      </c>
      <c r="C41" s="5" t="inlineStr">
        <is>
          <t>El pentagrama se puede mostrar u ocultar.</t>
        </is>
      </c>
      <c r="D41" s="5" t="inlineStr">
        <is>
          <t>Alta</t>
        </is>
      </c>
      <c r="E41" s="5" t="inlineStr">
        <is>
          <t>Cliente · listado 14/09</t>
        </is>
      </c>
      <c r="F41" s="5" t="inlineStr">
        <is>
          <t>F1</t>
        </is>
      </c>
      <c r="G41" s="5" t="inlineStr">
        <is>
          <t>F1.1</t>
        </is>
      </c>
      <c r="H41" s="5" t="inlineStr">
        <is>
          <t>D</t>
        </is>
      </c>
      <c r="I41" s="5" t="inlineStr">
        <is>
          <t>El pentagrama se oculta y se muestra desde el chip y desde Ajustes.</t>
        </is>
      </c>
      <c r="J41" s="5" t="inlineStr">
        <is>
          <t>Cumple</t>
        </is>
      </c>
      <c r="K41" s="5" t="inlineStr">
        <is>
          <t>0.1.0</t>
        </is>
      </c>
      <c r="L41" s="5" t="inlineStr">
        <is>
          <t>F1.1 #14</t>
        </is>
      </c>
      <c r="M41" s="5" t="inlineStr">
        <is>
          <t>Pendiente</t>
        </is>
      </c>
      <c r="N41" s="5" t="inlineStr">
        <is>
          <t>Cliente</t>
        </is>
      </c>
      <c r="O41" s="5" t="inlineStr">
        <is>
          <t>En configuración y en acceso rápido.</t>
        </is>
      </c>
      <c r="P41" s="6" t="n"/>
      <c r="Q41" s="5" t="inlineStr"/>
    </row>
    <row r="42" ht="33" customHeight="1">
      <c r="A42" s="4" t="inlineStr">
        <is>
          <t>P-03</t>
        </is>
      </c>
      <c r="B42" s="5" t="inlineStr">
        <is>
          <t>Pentagrama</t>
        </is>
      </c>
      <c r="C42" s="5" t="inlineStr">
        <is>
          <t>El pentagrama está disponible en todos los modos de aprendizaje.</t>
        </is>
      </c>
      <c r="D42" s="5" t="inlineStr">
        <is>
          <t>Media</t>
        </is>
      </c>
      <c r="E42" s="5" t="inlineStr">
        <is>
          <t>Cliente · listado 14/09</t>
        </is>
      </c>
      <c r="F42" s="5" t="inlineStr">
        <is>
          <t>F5</t>
        </is>
      </c>
      <c r="G42" s="5" t="inlineStr">
        <is>
          <t>F5.3</t>
        </is>
      </c>
      <c r="H42" s="5" t="inlineStr">
        <is>
          <t>D</t>
        </is>
      </c>
      <c r="I42" s="5" t="inlineStr">
        <is>
          <t>El pentagrama funciona en Libre, Adivinar y Escalas.</t>
        </is>
      </c>
      <c r="J42" s="5" t="inlineStr">
        <is>
          <t>Cumple parcialmente</t>
        </is>
      </c>
      <c r="K42" s="5" t="inlineStr">
        <is>
          <t>0.1.0</t>
        </is>
      </c>
      <c r="L42" s="5" t="inlineStr">
        <is>
          <t>—</t>
        </is>
      </c>
      <c r="M42" s="5" t="inlineStr">
        <is>
          <t>Pendiente</t>
        </is>
      </c>
      <c r="N42" s="5" t="inlineStr">
        <is>
          <t>Cliente</t>
        </is>
      </c>
      <c r="O42" s="5" t="inlineStr">
        <is>
          <t>Libre y Adivinar sí. Escalas, en F5.</t>
        </is>
      </c>
      <c r="P42" s="6" t="n"/>
      <c r="Q42" s="5" t="inlineStr"/>
    </row>
    <row r="43" ht="33" customHeight="1">
      <c r="A43" s="4" t="inlineStr">
        <is>
          <t>P-04</t>
        </is>
      </c>
      <c r="B43" s="5" t="inlineStr">
        <is>
          <t>Pentagrama</t>
        </is>
      </c>
      <c r="C43" s="5" t="inlineStr">
        <is>
          <t>En el afinador, la afinación seleccionada se muestra como seis notas en un pentagrama.</t>
        </is>
      </c>
      <c r="D43" s="5" t="inlineStr">
        <is>
          <t>Media</t>
        </is>
      </c>
      <c r="E43" s="5" t="inlineStr">
        <is>
          <t>Cliente · listado 14/09</t>
        </is>
      </c>
      <c r="F43" s="5" t="inlineStr">
        <is>
          <t>F1</t>
        </is>
      </c>
      <c r="G43" s="5" t="inlineStr">
        <is>
          <t>F1.1</t>
        </is>
      </c>
      <c r="H43" s="5" t="inlineStr">
        <is>
          <t>D</t>
        </is>
      </c>
      <c r="I43" s="5" t="inlineStr">
        <is>
          <t>El afinador muestra en un pentagrama las seis notas de la afinación activa.</t>
        </is>
      </c>
      <c r="J43" s="5" t="inlineStr">
        <is>
          <t>Cumple</t>
        </is>
      </c>
      <c r="K43" s="5" t="inlineStr">
        <is>
          <t>0.1.0</t>
        </is>
      </c>
      <c r="L43" s="5" t="inlineStr">
        <is>
          <t>F1.1 #14</t>
        </is>
      </c>
      <c r="M43" s="5" t="inlineStr">
        <is>
          <t>Pendiente</t>
        </is>
      </c>
      <c r="N43" s="5" t="inlineStr">
        <is>
          <t>Cliente</t>
        </is>
      </c>
      <c r="O43" s="5" t="inlineStr"/>
      <c r="P43" s="6" t="n"/>
      <c r="Q43" s="5" t="inlineStr"/>
    </row>
    <row r="44" ht="33" customHeight="1">
      <c r="A44" s="4" t="inlineStr">
        <is>
          <t>L-01</t>
        </is>
      </c>
      <c r="B44" s="5" t="inlineStr">
        <is>
          <t>Modo Libre</t>
        </is>
      </c>
      <c r="C44" s="5" t="inlineStr">
        <is>
          <t>El modo por defecto al abrir la app es el diapasón libre.</t>
        </is>
      </c>
      <c r="D44" s="5" t="inlineStr">
        <is>
          <t>Alta</t>
        </is>
      </c>
      <c r="E44" s="5" t="inlineStr">
        <is>
          <t>Cliente · listado 14/09</t>
        </is>
      </c>
      <c r="F44" s="5" t="inlineStr">
        <is>
          <t>F1</t>
        </is>
      </c>
      <c r="G44" s="5" t="inlineStr">
        <is>
          <t>F1.1</t>
        </is>
      </c>
      <c r="H44" s="5" t="inlineStr">
        <is>
          <t>D</t>
        </is>
      </c>
      <c r="I44" s="5" t="inlineStr">
        <is>
          <t>Al abrir la app se muestra el modo Libre.</t>
        </is>
      </c>
      <c r="J44" s="5" t="inlineStr">
        <is>
          <t>Cumple</t>
        </is>
      </c>
      <c r="K44" s="5" t="inlineStr">
        <is>
          <t>0.1.0</t>
        </is>
      </c>
      <c r="L44" s="5" t="inlineStr">
        <is>
          <t>F1.1 #14</t>
        </is>
      </c>
      <c r="M44" s="5" t="inlineStr">
        <is>
          <t>Pendiente</t>
        </is>
      </c>
      <c r="N44" s="5" t="inlineStr">
        <is>
          <t>Cliente</t>
        </is>
      </c>
      <c r="O44" s="5" t="inlineStr"/>
      <c r="P44" s="6" t="n"/>
      <c r="Q44" s="5" t="inlineStr"/>
    </row>
    <row r="45" ht="48" customHeight="1">
      <c r="A45" s="4" t="inlineStr">
        <is>
          <t>L-02</t>
        </is>
      </c>
      <c r="B45" s="5" t="inlineStr">
        <is>
          <t>Modo Libre</t>
        </is>
      </c>
      <c r="C45" s="5" t="inlineStr">
        <is>
          <t>El usuario decide si ve el nombre de todas las notas del mástil o solo el de la que pulsa.</t>
        </is>
      </c>
      <c r="D45" s="5" t="inlineStr">
        <is>
          <t>Alta</t>
        </is>
      </c>
      <c r="E45" s="5" t="inlineStr">
        <is>
          <t>Cliente · listado 14/09</t>
        </is>
      </c>
      <c r="F45" s="5" t="inlineStr">
        <is>
          <t>F1</t>
        </is>
      </c>
      <c r="G45" s="5" t="inlineStr">
        <is>
          <t>F1.1</t>
        </is>
      </c>
      <c r="H45" s="5" t="inlineStr">
        <is>
          <t>D</t>
        </is>
      </c>
      <c r="I45" s="5" t="inlineStr">
        <is>
          <t>Con «Ver todas las notas» se ven todos los nombres; sin él, solo el de la nota pulsada.</t>
        </is>
      </c>
      <c r="J45" s="5" t="inlineStr">
        <is>
          <t>Cumple</t>
        </is>
      </c>
      <c r="K45" s="5" t="inlineStr">
        <is>
          <t>0.1.0</t>
        </is>
      </c>
      <c r="L45" s="5" t="inlineStr">
        <is>
          <t>Banco (node --test) · F1.1 #10</t>
        </is>
      </c>
      <c r="M45" s="5" t="inlineStr">
        <is>
          <t>Verificado parcialmente</t>
        </is>
      </c>
      <c r="N45" s="5" t="inlineStr">
        <is>
          <t>Cliente</t>
        </is>
      </c>
      <c r="O45" s="5" t="inlineStr">
        <is>
          <t>Por defecto solo la pulsada, para no convertir el mástil en una chuleta permanente. En Adivinar no se aplica (J-12).</t>
        </is>
      </c>
      <c r="P45" s="6" t="n"/>
      <c r="Q45" s="5" t="inlineStr"/>
    </row>
    <row r="46" ht="63" customHeight="1">
      <c r="A46" s="4" t="inlineStr">
        <is>
          <t>L-03</t>
        </is>
      </c>
      <c r="B46" s="5" t="inlineStr">
        <is>
          <t>Modo Libre</t>
        </is>
      </c>
      <c r="C46" s="5" t="inlineStr">
        <is>
          <t>Al pulsar una nota se señalan discretamente las demás posiciones que producen exactamente la misma nota (mismo sonido, no misma clase de nota).</t>
        </is>
      </c>
      <c r="D46" s="5" t="inlineStr">
        <is>
          <t>Media</t>
        </is>
      </c>
      <c r="E46" s="5" t="inlineStr">
        <is>
          <t>Cliente · listado 14/09</t>
        </is>
      </c>
      <c r="F46" s="5" t="inlineStr">
        <is>
          <t>F1</t>
        </is>
      </c>
      <c r="G46" s="5" t="inlineStr">
        <is>
          <t>F1.1</t>
        </is>
      </c>
      <c r="H46" s="5" t="inlineStr">
        <is>
          <t>D</t>
        </is>
      </c>
      <c r="I46" s="5" t="inlineStr">
        <is>
          <t>Al pulsar una nota se señalan las demás posiciones con el mismo sonido exacto y ninguna de otra octava.</t>
        </is>
      </c>
      <c r="J46" s="5" t="inlineStr">
        <is>
          <t>Cumple</t>
        </is>
      </c>
      <c r="K46" s="5" t="inlineStr">
        <is>
          <t>0.1.0</t>
        </is>
      </c>
      <c r="L46" s="5" t="inlineStr">
        <is>
          <t>F1.1 #14</t>
        </is>
      </c>
      <c r="M46" s="5" t="inlineStr">
        <is>
          <t>Pendiente</t>
        </is>
      </c>
      <c r="N46" s="5" t="inlineStr">
        <is>
          <t>Cliente</t>
        </is>
      </c>
      <c r="O46" s="5" t="inlineStr">
        <is>
          <t>Señal deliberadamente más tenue que la nota pulsada.</t>
        </is>
      </c>
      <c r="P46" s="6" t="n"/>
      <c r="Q46" s="5" t="inlineStr"/>
    </row>
    <row r="47" ht="63" customHeight="1">
      <c r="A47" s="4" t="inlineStr">
        <is>
          <t>J-01</t>
        </is>
      </c>
      <c r="B47" s="5" t="inlineStr">
        <is>
          <t>Modo Adivinar</t>
        </is>
      </c>
      <c r="C47" s="5" t="inlineStr">
        <is>
          <t>Suena una nota aleatoria y el usuario busca su posición en el mástil.</t>
        </is>
      </c>
      <c r="D47" s="5" t="inlineStr">
        <is>
          <t>Alta</t>
        </is>
      </c>
      <c r="E47" s="5" t="inlineStr">
        <is>
          <t>Cliente · listado 14/09</t>
        </is>
      </c>
      <c r="F47" s="5" t="inlineStr">
        <is>
          <t>F1</t>
        </is>
      </c>
      <c r="G47" s="5" t="inlineStr">
        <is>
          <t>F1.1</t>
        </is>
      </c>
      <c r="H47" s="5" t="inlineStr">
        <is>
          <t>D</t>
        </is>
      </c>
      <c r="I47" s="5" t="inlineStr">
        <is>
          <t>Al entrar en Adivinar suena una nota y el botón ▶ la repite.</t>
        </is>
      </c>
      <c r="J47" s="5" t="inlineStr">
        <is>
          <t>Cumple</t>
        </is>
      </c>
      <c r="K47" s="5" t="inlineStr">
        <is>
          <t>0.1.0</t>
        </is>
      </c>
      <c r="L47" s="5" t="inlineStr">
        <is>
          <t>F1.1 #14</t>
        </is>
      </c>
      <c r="M47" s="5" t="inlineStr">
        <is>
          <t>Pendiente</t>
        </is>
      </c>
      <c r="N47" s="5" t="inlineStr">
        <is>
          <t>Cliente</t>
        </is>
      </c>
      <c r="O47" s="5" t="inlineStr">
        <is>
          <t>Con botón para repetir el sonido. Desde 0.1.1 los retos se limitan a los 12 primeros trastes por defecto, y desplazar el mástil ya no cuenta como pulsación.</t>
        </is>
      </c>
      <c r="P47" s="6" t="n"/>
      <c r="Q47" s="5" t="inlineStr"/>
    </row>
    <row r="48" ht="33" customHeight="1">
      <c r="A48" s="4" t="inlineStr">
        <is>
          <t>J-02</t>
        </is>
      </c>
      <c r="B48" s="5" t="inlineStr">
        <is>
          <t>Modo Adivinar</t>
        </is>
      </c>
      <c r="C48" s="5" t="inlineStr">
        <is>
          <t>Se acepta como acierto cualquier posición que produzca esa nota exacta.</t>
        </is>
      </c>
      <c r="D48" s="5" t="inlineStr">
        <is>
          <t>Alta</t>
        </is>
      </c>
      <c r="E48" s="5" t="inlineStr">
        <is>
          <t>Cliente · listado 14/09</t>
        </is>
      </c>
      <c r="F48" s="5" t="inlineStr">
        <is>
          <t>F1</t>
        </is>
      </c>
      <c r="G48" s="5" t="inlineStr">
        <is>
          <t>F1.1</t>
        </is>
      </c>
      <c r="H48" s="5" t="inlineStr">
        <is>
          <t>T</t>
        </is>
      </c>
      <c r="I48" s="5" t="inlineStr">
        <is>
          <t>Cualquier posición con el mismo sonido cuenta como acierto.</t>
        </is>
      </c>
      <c r="J48" s="5" t="inlineStr">
        <is>
          <t>Cumple</t>
        </is>
      </c>
      <c r="K48" s="5" t="inlineStr">
        <is>
          <t>0.1.0</t>
        </is>
      </c>
      <c r="L48" s="5" t="inlineStr">
        <is>
          <t>Banco (node --test): acierto</t>
        </is>
      </c>
      <c r="M48" s="5" t="inlineStr">
        <is>
          <t>Verificado parcialmente</t>
        </is>
      </c>
      <c r="N48" s="5" t="inlineStr">
        <is>
          <t>Banco automático + auditor técnico</t>
        </is>
      </c>
      <c r="O48" s="5" t="inlineStr"/>
      <c r="P48" s="6" t="n"/>
      <c r="Q48" s="5" t="inlineStr"/>
    </row>
    <row r="49" ht="33" customHeight="1">
      <c r="A49" s="4" t="inlineStr">
        <is>
          <t>J-03</t>
        </is>
      </c>
      <c r="B49" s="5" t="inlineStr">
        <is>
          <t>Modo Adivinar</t>
        </is>
      </c>
      <c r="C49" s="5" t="inlineStr">
        <is>
          <t>Tras acertar se señalan las demás posiciones válidas.</t>
        </is>
      </c>
      <c r="D49" s="5" t="inlineStr">
        <is>
          <t>Media</t>
        </is>
      </c>
      <c r="E49" s="5" t="inlineStr">
        <is>
          <t>Cliente · listado 14/09</t>
        </is>
      </c>
      <c r="F49" s="5" t="inlineStr">
        <is>
          <t>F1</t>
        </is>
      </c>
      <c r="G49" s="5" t="inlineStr">
        <is>
          <t>F1.1</t>
        </is>
      </c>
      <c r="H49" s="5" t="inlineStr">
        <is>
          <t>D</t>
        </is>
      </c>
      <c r="I49" s="5" t="inlineStr">
        <is>
          <t>Tras acertar se señalan las demás posiciones válidas.</t>
        </is>
      </c>
      <c r="J49" s="5" t="inlineStr">
        <is>
          <t>Cumple</t>
        </is>
      </c>
      <c r="K49" s="5" t="inlineStr">
        <is>
          <t>0.1.0</t>
        </is>
      </c>
      <c r="L49" s="5" t="inlineStr">
        <is>
          <t>F1.1 #14</t>
        </is>
      </c>
      <c r="M49" s="5" t="inlineStr">
        <is>
          <t>Pendiente</t>
        </is>
      </c>
      <c r="N49" s="5" t="inlineStr">
        <is>
          <t>Cliente</t>
        </is>
      </c>
      <c r="O49" s="5" t="inlineStr">
        <is>
          <t>Reutiliza la lógica de L-03.</t>
        </is>
      </c>
      <c r="P49" s="6" t="n"/>
      <c r="Q49" s="5" t="inlineStr"/>
    </row>
    <row r="50" ht="33" customHeight="1">
      <c r="A50" s="4" t="inlineStr">
        <is>
          <t>J-04</t>
        </is>
      </c>
      <c r="B50" s="5" t="inlineStr">
        <is>
          <t>Modo Adivinar</t>
        </is>
      </c>
      <c r="C50" s="5" t="inlineStr">
        <is>
          <t>Pista opcional: nombre de la nota que suena.</t>
        </is>
      </c>
      <c r="D50" s="5" t="inlineStr">
        <is>
          <t>Alta</t>
        </is>
      </c>
      <c r="E50" s="5" t="inlineStr">
        <is>
          <t>Cliente · listado 14/09</t>
        </is>
      </c>
      <c r="F50" s="5" t="inlineStr">
        <is>
          <t>F1</t>
        </is>
      </c>
      <c r="G50" s="5" t="inlineStr">
        <is>
          <t>F1.1</t>
        </is>
      </c>
      <c r="H50" s="5" t="inlineStr">
        <is>
          <t>D</t>
        </is>
      </c>
      <c r="I50" s="5" t="inlineStr">
        <is>
          <t>La pista «Nombre» muestra el nombre y la octava de la nota que suena.</t>
        </is>
      </c>
      <c r="J50" s="5" t="inlineStr">
        <is>
          <t>Cumple</t>
        </is>
      </c>
      <c r="K50" s="5" t="inlineStr">
        <is>
          <t>0.1.0</t>
        </is>
      </c>
      <c r="L50" s="5" t="inlineStr">
        <is>
          <t>F1.1 #14</t>
        </is>
      </c>
      <c r="M50" s="5" t="inlineStr">
        <is>
          <t>Pendiente</t>
        </is>
      </c>
      <c r="N50" s="5" t="inlineStr">
        <is>
          <t>Cliente</t>
        </is>
      </c>
      <c r="O50" s="5" t="inlineStr"/>
      <c r="P50" s="6" t="n"/>
      <c r="Q50" s="5" t="inlineStr"/>
    </row>
    <row r="51" ht="33" customHeight="1">
      <c r="A51" s="4" t="inlineStr">
        <is>
          <t>J-05</t>
        </is>
      </c>
      <c r="B51" s="5" t="inlineStr">
        <is>
          <t>Modo Adivinar</t>
        </is>
      </c>
      <c r="C51" s="5" t="inlineStr">
        <is>
          <t>Pista opcional: cuerda o cuerdas donde puede encontrarse.</t>
        </is>
      </c>
      <c r="D51" s="5" t="inlineStr">
        <is>
          <t>Alta</t>
        </is>
      </c>
      <c r="E51" s="5" t="inlineStr">
        <is>
          <t>Cliente · listado 14/09</t>
        </is>
      </c>
      <c r="F51" s="5" t="inlineStr">
        <is>
          <t>F1</t>
        </is>
      </c>
      <c r="G51" s="5" t="inlineStr">
        <is>
          <t>F1.1</t>
        </is>
      </c>
      <c r="H51" s="5" t="inlineStr">
        <is>
          <t>D</t>
        </is>
      </c>
      <c r="I51" s="5" t="inlineStr">
        <is>
          <t>La pista «Cuerda» lista las cuerdas donde puede estar la nota.</t>
        </is>
      </c>
      <c r="J51" s="5" t="inlineStr">
        <is>
          <t>Cumple</t>
        </is>
      </c>
      <c r="K51" s="5" t="inlineStr">
        <is>
          <t>0.1.0</t>
        </is>
      </c>
      <c r="L51" s="5" t="inlineStr">
        <is>
          <t>F1.1 #14</t>
        </is>
      </c>
      <c r="M51" s="5" t="inlineStr">
        <is>
          <t>Pendiente</t>
        </is>
      </c>
      <c r="N51" s="5" t="inlineStr">
        <is>
          <t>Cliente</t>
        </is>
      </c>
      <c r="O51" s="5" t="inlineStr"/>
      <c r="P51" s="6" t="n"/>
      <c r="Q51" s="5" t="inlineStr"/>
    </row>
    <row r="52" ht="48" customHeight="1">
      <c r="A52" s="4" t="inlineStr">
        <is>
          <t>J-06</t>
        </is>
      </c>
      <c r="B52" s="5" t="inlineStr">
        <is>
          <t>Modo Adivinar</t>
        </is>
      </c>
      <c r="C52" s="5" t="inlineStr">
        <is>
          <t>Las pistas se activan desde la propia interfaz, sin abrir el menú.</t>
        </is>
      </c>
      <c r="D52" s="5" t="inlineStr">
        <is>
          <t>Alta</t>
        </is>
      </c>
      <c r="E52" s="5" t="inlineStr">
        <is>
          <t>Cliente · listado 14/09</t>
        </is>
      </c>
      <c r="F52" s="5" t="inlineStr">
        <is>
          <t>F1</t>
        </is>
      </c>
      <c r="G52" s="5" t="inlineStr">
        <is>
          <t>F1.1</t>
        </is>
      </c>
      <c r="H52" s="5" t="inlineStr">
        <is>
          <t>D</t>
        </is>
      </c>
      <c r="I52" s="5" t="inlineStr">
        <is>
          <t>Las dos pistas se activan con chips visibles en Adivinar, sin abrir Ajustes.</t>
        </is>
      </c>
      <c r="J52" s="5" t="inlineStr">
        <is>
          <t>Cumple</t>
        </is>
      </c>
      <c r="K52" s="5" t="inlineStr">
        <is>
          <t>0.1.0</t>
        </is>
      </c>
      <c r="L52" s="5" t="inlineStr">
        <is>
          <t>F1.1 #14</t>
        </is>
      </c>
      <c r="M52" s="5" t="inlineStr">
        <is>
          <t>Pendiente</t>
        </is>
      </c>
      <c r="N52" s="5" t="inlineStr">
        <is>
          <t>Cliente</t>
        </is>
      </c>
      <c r="O52" s="5" t="inlineStr">
        <is>
          <t>Con las dos pistas activas equivale a «busca esta nota en esta cuerda»; sin ninguna, a «adivina de oído».</t>
        </is>
      </c>
      <c r="P52" s="6" t="n"/>
      <c r="Q52" s="5" t="inlineStr"/>
    </row>
    <row r="53" ht="33" customHeight="1">
      <c r="A53" s="4" t="inlineStr">
        <is>
          <t>J-07</t>
        </is>
      </c>
      <c r="B53" s="5" t="inlineStr">
        <is>
          <t>Modo Adivinar</t>
        </is>
      </c>
      <c r="C53" s="5" t="inlineStr">
        <is>
          <t>Contador de racha visible durante el juego.</t>
        </is>
      </c>
      <c r="D53" s="5" t="inlineStr">
        <is>
          <t>Alta</t>
        </is>
      </c>
      <c r="E53" s="5" t="inlineStr">
        <is>
          <t>Cliente · listado 14/09</t>
        </is>
      </c>
      <c r="F53" s="5" t="inlineStr">
        <is>
          <t>F1</t>
        </is>
      </c>
      <c r="G53" s="5" t="inlineStr">
        <is>
          <t>F1.1</t>
        </is>
      </c>
      <c r="H53" s="5" t="inlineStr">
        <is>
          <t>T</t>
        </is>
      </c>
      <c r="I53" s="5" t="inlineStr">
        <is>
          <t>La racha sube con cada acierto y vuelve a 0 con cada fallo.</t>
        </is>
      </c>
      <c r="J53" s="5" t="inlineStr">
        <is>
          <t>Cumple</t>
        </is>
      </c>
      <c r="K53" s="5" t="inlineStr">
        <is>
          <t>0.1.0</t>
        </is>
      </c>
      <c r="L53" s="5" t="inlineStr">
        <is>
          <t>Banco (node --test): acierto y fallo</t>
        </is>
      </c>
      <c r="M53" s="5" t="inlineStr">
        <is>
          <t>Verificado parcialmente</t>
        </is>
      </c>
      <c r="N53" s="5" t="inlineStr">
        <is>
          <t>Banco automático + auditor técnico</t>
        </is>
      </c>
      <c r="O53" s="5" t="inlineStr"/>
      <c r="P53" s="6" t="n"/>
      <c r="Q53" s="5" t="inlineStr"/>
    </row>
    <row r="54" ht="48" customHeight="1">
      <c r="A54" s="4" t="inlineStr">
        <is>
          <t>J-08</t>
        </is>
      </c>
      <c r="B54" s="5" t="inlineStr">
        <is>
          <t>Modo Adivinar</t>
        </is>
      </c>
      <c r="C54" s="5" t="inlineStr">
        <is>
          <t>El récord de racha más larga persiste entre sesiones.</t>
        </is>
      </c>
      <c r="D54" s="5" t="inlineStr">
        <is>
          <t>Alta</t>
        </is>
      </c>
      <c r="E54" s="5" t="inlineStr">
        <is>
          <t>Cliente · listado 14/09</t>
        </is>
      </c>
      <c r="F54" s="5" t="inlineStr">
        <is>
          <t>F1</t>
        </is>
      </c>
      <c r="G54" s="5" t="inlineStr">
        <is>
          <t>F1.1</t>
        </is>
      </c>
      <c r="H54" s="5" t="inlineStr">
        <is>
          <t>T</t>
        </is>
      </c>
      <c r="I54" s="5" t="inlineStr">
        <is>
          <t>El récord persiste tras recargar la página.</t>
        </is>
      </c>
      <c r="J54" s="5" t="inlineStr">
        <is>
          <t>Cumple</t>
        </is>
      </c>
      <c r="K54" s="5" t="inlineStr">
        <is>
          <t>0.1.0</t>
        </is>
      </c>
      <c r="L54" s="5" t="inlineStr">
        <is>
          <t>Banco (node --test): récord guardado · F1.1 #13</t>
        </is>
      </c>
      <c r="M54" s="5" t="inlineStr">
        <is>
          <t>Verificado parcialmente</t>
        </is>
      </c>
      <c r="N54" s="5" t="inlineStr">
        <is>
          <t>Banco automático + auditor técnico</t>
        </is>
      </c>
      <c r="O54" s="5" t="inlineStr">
        <is>
          <t>localStorage. No funciona en las previsualizaciones de artefactos; probar en local o en la web.</t>
        </is>
      </c>
      <c r="P54" s="6" t="n"/>
      <c r="Q54" s="5" t="inlineStr"/>
    </row>
    <row r="55" ht="33" customHeight="1">
      <c r="A55" s="4" t="inlineStr">
        <is>
          <t>J-09</t>
        </is>
      </c>
      <c r="B55" s="5" t="inlineStr">
        <is>
          <t>Modo Adivinar</t>
        </is>
      </c>
      <c r="C55" s="5" t="inlineStr">
        <is>
          <t>Feedback visual inmediato de acierto y de error.</t>
        </is>
      </c>
      <c r="D55" s="5" t="inlineStr">
        <is>
          <t>Alta</t>
        </is>
      </c>
      <c r="E55" s="5" t="inlineStr">
        <is>
          <t>Cliente · listado 14/09</t>
        </is>
      </c>
      <c r="F55" s="5" t="inlineStr">
        <is>
          <t>F1</t>
        </is>
      </c>
      <c r="G55" s="5" t="inlineStr">
        <is>
          <t>F1.1</t>
        </is>
      </c>
      <c r="H55" s="5" t="inlineStr">
        <is>
          <t>D</t>
        </is>
      </c>
      <c r="I55" s="5" t="inlineStr">
        <is>
          <t>Acierto y fallo se distinguen al instante por color y destello.</t>
        </is>
      </c>
      <c r="J55" s="5" t="inlineStr">
        <is>
          <t>Cumple</t>
        </is>
      </c>
      <c r="K55" s="5" t="inlineStr">
        <is>
          <t>0.1.0</t>
        </is>
      </c>
      <c r="L55" s="5" t="inlineStr">
        <is>
          <t>F1.1 #9</t>
        </is>
      </c>
      <c r="M55" s="5" t="inlineStr">
        <is>
          <t>Pendiente</t>
        </is>
      </c>
      <c r="N55" s="5" t="inlineStr">
        <is>
          <t>Cliente</t>
        </is>
      </c>
      <c r="O55" s="5" t="inlineStr">
        <is>
          <t>Color en la posición pulsada y destello en la barra del reto.</t>
        </is>
      </c>
      <c r="P55" s="6" t="n"/>
      <c r="Q55" s="5" t="inlineStr"/>
    </row>
    <row r="56" ht="78" customHeight="1">
      <c r="A56" s="4" t="inlineStr">
        <is>
          <t>J-10</t>
        </is>
      </c>
      <c r="B56" s="5" t="inlineStr">
        <is>
          <t>Modo Adivinar</t>
        </is>
      </c>
      <c r="C56" s="5" t="inlineStr">
        <is>
          <t>Al fallar se indica cuál era la posición correcta.</t>
        </is>
      </c>
      <c r="D56" s="5" t="inlineStr">
        <is>
          <t>Media</t>
        </is>
      </c>
      <c r="E56" s="5" t="inlineStr">
        <is>
          <t>Cliente · listado 14/09</t>
        </is>
      </c>
      <c r="F56" s="5" t="inlineStr">
        <is>
          <t>F1</t>
        </is>
      </c>
      <c r="G56" s="5" t="inlineStr">
        <is>
          <t>F1.3</t>
        </is>
      </c>
      <c r="H56" s="5" t="inlineStr">
        <is>
          <t>T</t>
        </is>
      </c>
      <c r="I56" s="5" t="inlineStr">
        <is>
          <t>Tras un fallo se iluminan todas las posiciones correctas, suena la nota buscada y llega un reto nuevo limpio.</t>
        </is>
      </c>
      <c r="J56" s="5" t="inlineStr">
        <is>
          <t>Cumple</t>
        </is>
      </c>
      <c r="K56" s="5" t="inlineStr">
        <is>
          <t>0.1.2</t>
        </is>
      </c>
      <c r="L56" s="5" t="inlineStr">
        <is>
          <t>Banco (node --test): 7 comprobaciones · F1.1 #9</t>
        </is>
      </c>
      <c r="M56" s="5" t="inlineStr">
        <is>
          <t>Verificado parcialmente</t>
        </is>
      </c>
      <c r="N56" s="5" t="inlineStr">
        <is>
          <t>Banco automático + auditor técnico</t>
        </is>
      </c>
      <c r="O56" s="5" t="inlineStr">
        <is>
          <t>El fallo rompe la racha siempre. Se iluminan todas las posiciones correctas y se vuelve a oír la nota buscada justo después de la pulsada, para aprender por contraste; luego llega el reto siguiente.</t>
        </is>
      </c>
      <c r="P56" s="6" t="n"/>
      <c r="Q56" s="5" t="inlineStr"/>
    </row>
    <row r="57" ht="48" customHeight="1">
      <c r="A57" s="4" t="inlineStr">
        <is>
          <t>J-11</t>
        </is>
      </c>
      <c r="B57" s="5" t="inlineStr">
        <is>
          <t>Modo Adivinar</t>
        </is>
      </c>
      <c r="C57" s="5" t="inlineStr">
        <is>
          <t>Definir si el récord es único o independiente por afinación.</t>
        </is>
      </c>
      <c r="D57" s="5" t="inlineStr">
        <is>
          <t>Media</t>
        </is>
      </c>
      <c r="E57" s="5" t="inlineStr">
        <is>
          <t>Desarrollo · v1.1</t>
        </is>
      </c>
      <c r="F57" s="5" t="inlineStr">
        <is>
          <t>F4</t>
        </is>
      </c>
      <c r="G57" s="5" t="inlineStr">
        <is>
          <t>F4.4</t>
        </is>
      </c>
      <c r="H57" s="5" t="inlineStr">
        <is>
          <t>I</t>
        </is>
      </c>
      <c r="I57" s="5" t="inlineStr">
        <is>
          <t>La decisión queda anotada en requisitos.md.</t>
        </is>
      </c>
      <c r="J57" s="5" t="inlineStr">
        <is>
          <t>No cumple</t>
        </is>
      </c>
      <c r="K57" s="5" t="inlineStr">
        <is>
          <t>—</t>
        </is>
      </c>
      <c r="L57" s="5" t="inlineStr">
        <is>
          <t>—</t>
        </is>
      </c>
      <c r="M57" s="5" t="inlineStr">
        <is>
          <t>Pendiente</t>
        </is>
      </c>
      <c r="N57" s="5" t="inlineStr">
        <is>
          <t>Auditor de requisitos</t>
        </is>
      </c>
      <c r="O57" s="5" t="inlineStr">
        <is>
          <t>Hoy es único y global: una racha en DADGAD compite con una en estándar aunque la dificultad no sea comparable.</t>
        </is>
      </c>
      <c r="P57" s="6" t="n"/>
      <c r="Q57" s="5" t="inlineStr"/>
    </row>
    <row r="58" ht="48" customHeight="1">
      <c r="A58" s="4" t="inlineStr">
        <is>
          <t>J-12</t>
        </is>
      </c>
      <c r="B58" s="5" t="inlineStr">
        <is>
          <t>Modo Adivinar</t>
        </is>
      </c>
      <c r="C58" s="5" t="inlineStr">
        <is>
          <t>Los ajustes que revelan la respuesta —ver todas las notas— no se aplican en Adivinar.</t>
        </is>
      </c>
      <c r="D58" s="5" t="inlineStr">
        <is>
          <t>Alta</t>
        </is>
      </c>
      <c r="E58" s="5" t="inlineStr">
        <is>
          <t>Revisión de código 0.1.2</t>
        </is>
      </c>
      <c r="F58" s="5" t="inlineStr">
        <is>
          <t>F1</t>
        </is>
      </c>
      <c r="G58" s="5" t="inlineStr">
        <is>
          <t>F1.3</t>
        </is>
      </c>
      <c r="H58" s="5" t="inlineStr">
        <is>
          <t>T</t>
        </is>
      </c>
      <c r="I58" s="5" t="inlineStr">
        <is>
          <t>Con «Ver todas las notas» activo, Adivinar no muestra los nombres.</t>
        </is>
      </c>
      <c r="J58" s="5" t="inlineStr">
        <is>
          <t>Cumple</t>
        </is>
      </c>
      <c r="K58" s="5" t="inlineStr">
        <is>
          <t>0.1.2</t>
        </is>
      </c>
      <c r="L58" s="5" t="inlineStr">
        <is>
          <t>Banco (node --test) · F1.1 #10</t>
        </is>
      </c>
      <c r="M58" s="5" t="inlineStr">
        <is>
          <t>Verificado parcialmente</t>
        </is>
      </c>
      <c r="N58" s="5" t="inlineStr">
        <is>
          <t>Banco automático + auditor técnico</t>
        </is>
      </c>
      <c r="O58" s="5" t="inlineStr">
        <is>
          <t>Encontrado al revisar el código: con «ver todas las notas» activo, el juego mostraba la solución.</t>
        </is>
      </c>
      <c r="P58" s="6" t="n"/>
      <c r="Q58" s="5" t="inlineStr"/>
    </row>
    <row r="59" ht="33" customHeight="1">
      <c r="A59" s="4" t="inlineStr">
        <is>
          <t>E-01</t>
        </is>
      </c>
      <c r="B59" s="5" t="inlineStr">
        <is>
          <t>Escalas</t>
        </is>
      </c>
      <c r="C59" s="5" t="inlineStr">
        <is>
          <t>Selección de escala a practicar (tónica + tipo).</t>
        </is>
      </c>
      <c r="D59" s="5" t="inlineStr">
        <is>
          <t>Alta</t>
        </is>
      </c>
      <c r="E59" s="5" t="inlineStr">
        <is>
          <t>Cliente · listado 14/09</t>
        </is>
      </c>
      <c r="F59" s="5" t="inlineStr">
        <is>
          <t>F5</t>
        </is>
      </c>
      <c r="G59" s="5" t="inlineStr">
        <is>
          <t>F5.2</t>
        </is>
      </c>
      <c r="H59" s="5" t="inlineStr">
        <is>
          <t>D</t>
        </is>
      </c>
      <c r="I59" s="5" t="inlineStr">
        <is>
          <t>Se puede elegir tónica y tipo de escala entre el catálogo aprobado.</t>
        </is>
      </c>
      <c r="J59" s="5" t="inlineStr">
        <is>
          <t>No cumple</t>
        </is>
      </c>
      <c r="K59" s="5" t="inlineStr">
        <is>
          <t>—</t>
        </is>
      </c>
      <c r="L59" s="5" t="inlineStr">
        <is>
          <t>—</t>
        </is>
      </c>
      <c r="M59" s="5" t="inlineStr">
        <is>
          <t>Pendiente</t>
        </is>
      </c>
      <c r="N59" s="5" t="inlineStr">
        <is>
          <t>Cliente</t>
        </is>
      </c>
      <c r="O59" s="5" t="inlineStr">
        <is>
          <t>Catálogo inicial por decidir.</t>
        </is>
      </c>
      <c r="P59" s="6" t="n"/>
      <c r="Q59" s="5" t="inlineStr"/>
    </row>
    <row r="60" ht="48" customHeight="1">
      <c r="A60" s="4" t="inlineStr">
        <is>
          <t>E-02</t>
        </is>
      </c>
      <c r="B60" s="5" t="inlineStr">
        <is>
          <t>Escalas</t>
        </is>
      </c>
      <c r="C60" s="5" t="inlineStr">
        <is>
          <t>El generador de escalas opera solo en afinación estándar en la primera entrega.</t>
        </is>
      </c>
      <c r="D60" s="5" t="inlineStr">
        <is>
          <t>Alta</t>
        </is>
      </c>
      <c r="E60" s="5" t="inlineStr">
        <is>
          <t>Cliente · listado 14/09</t>
        </is>
      </c>
      <c r="F60" s="5" t="inlineStr">
        <is>
          <t>F5</t>
        </is>
      </c>
      <c r="G60" s="5" t="inlineStr">
        <is>
          <t>F5.2</t>
        </is>
      </c>
      <c r="H60" s="5" t="inlineStr">
        <is>
          <t>T</t>
        </is>
      </c>
      <c r="I60" s="5" t="inlineStr">
        <is>
          <t>Para cada tónica y tipo, las posiciones generadas coinciden con una referencia externa en afinación estándar.</t>
        </is>
      </c>
      <c r="J60" s="5" t="inlineStr">
        <is>
          <t>No cumple</t>
        </is>
      </c>
      <c r="K60" s="5" t="inlineStr">
        <is>
          <t>—</t>
        </is>
      </c>
      <c r="L60" s="5" t="inlineStr">
        <is>
          <t>—</t>
        </is>
      </c>
      <c r="M60" s="5" t="inlineStr">
        <is>
          <t>Pendiente</t>
        </is>
      </c>
      <c r="N60" s="5" t="inlineStr">
        <is>
          <t>Banco automático + auditor técnico</t>
        </is>
      </c>
      <c r="O60" s="5" t="inlineStr">
        <is>
          <t>Alcance acotado. Las demás afinaciones pasan a E-02b.</t>
        </is>
      </c>
      <c r="P60" s="6" t="n"/>
      <c r="Q60" s="5" t="inlineStr"/>
    </row>
    <row r="61" ht="48" customHeight="1">
      <c r="A61" s="4" t="inlineStr">
        <is>
          <t>E-02b</t>
        </is>
      </c>
      <c r="B61" s="5" t="inlineStr">
        <is>
          <t>Escalas</t>
        </is>
      </c>
      <c r="C61" s="5" t="inlineStr">
        <is>
          <t>Escalas en afinaciones alternativas y variantes de digitación (por ejemplo, escala en octavas).</t>
        </is>
      </c>
      <c r="D61" s="5" t="inlineStr">
        <is>
          <t>Media</t>
        </is>
      </c>
      <c r="E61" s="5" t="inlineStr">
        <is>
          <t>AR-01</t>
        </is>
      </c>
      <c r="F61" s="5" t="inlineStr">
        <is>
          <t>Posterior</t>
        </is>
      </c>
      <c r="G61" s="5" t="inlineStr">
        <is>
          <t>Posterior</t>
        </is>
      </c>
      <c r="H61" s="5" t="inlineStr">
        <is>
          <t>N/A</t>
        </is>
      </c>
      <c r="I61" s="5" t="inlineStr">
        <is>
          <t>Fuera del alcance actual.</t>
        </is>
      </c>
      <c r="J61" s="5" t="inlineStr">
        <is>
          <t>No aplica</t>
        </is>
      </c>
      <c r="K61" s="5" t="inlineStr">
        <is>
          <t>—</t>
        </is>
      </c>
      <c r="L61" s="5" t="inlineStr">
        <is>
          <t>—</t>
        </is>
      </c>
      <c r="M61" s="5" t="inlineStr">
        <is>
          <t>No aplica</t>
        </is>
      </c>
      <c r="N61" s="5" t="inlineStr">
        <is>
          <t>—</t>
        </is>
      </c>
      <c r="O61" s="5" t="inlineStr">
        <is>
          <t>Fuera del alcance de F5.</t>
        </is>
      </c>
      <c r="P61" s="6" t="n"/>
      <c r="Q61" s="5" t="inlineStr"/>
    </row>
    <row r="62" ht="33" customHeight="1">
      <c r="A62" s="4" t="inlineStr">
        <is>
          <t>E-03</t>
        </is>
      </c>
      <c r="B62" s="5" t="inlineStr">
        <is>
          <t>Escalas</t>
        </is>
      </c>
      <c r="C62" s="5" t="inlineStr">
        <is>
          <t>Submodo Mostrar: la app ilumina las notas que componen la escala.</t>
        </is>
      </c>
      <c r="D62" s="5" t="inlineStr">
        <is>
          <t>Alta</t>
        </is>
      </c>
      <c r="E62" s="5" t="inlineStr">
        <is>
          <t>Cliente · listado 14/09</t>
        </is>
      </c>
      <c r="F62" s="5" t="inlineStr">
        <is>
          <t>F5</t>
        </is>
      </c>
      <c r="G62" s="5" t="inlineStr">
        <is>
          <t>F5.3</t>
        </is>
      </c>
      <c r="H62" s="5" t="inlineStr">
        <is>
          <t>D</t>
        </is>
      </c>
      <c r="I62" s="5" t="inlineStr">
        <is>
          <t>Mostrar ilumina únicamente las notas de la escala.</t>
        </is>
      </c>
      <c r="J62" s="5" t="inlineStr">
        <is>
          <t>No cumple</t>
        </is>
      </c>
      <c r="K62" s="5" t="inlineStr">
        <is>
          <t>—</t>
        </is>
      </c>
      <c r="L62" s="5" t="inlineStr">
        <is>
          <t>—</t>
        </is>
      </c>
      <c r="M62" s="5" t="inlineStr">
        <is>
          <t>Pendiente</t>
        </is>
      </c>
      <c r="N62" s="5" t="inlineStr">
        <is>
          <t>Cliente</t>
        </is>
      </c>
      <c r="O62" s="5" t="inlineStr"/>
      <c r="P62" s="6" t="n"/>
      <c r="Q62" s="5" t="inlineStr"/>
    </row>
    <row r="63" ht="48" customHeight="1">
      <c r="A63" s="4" t="inlineStr">
        <is>
          <t>E-04</t>
        </is>
      </c>
      <c r="B63" s="5" t="inlineStr">
        <is>
          <t>Escalas</t>
        </is>
      </c>
      <c r="C63" s="5" t="inlineStr">
        <is>
          <t>En Mostrar se indica el nombre de cada nota y su separación interválica respecto a la anterior.</t>
        </is>
      </c>
      <c r="D63" s="5" t="inlineStr">
        <is>
          <t>Alta</t>
        </is>
      </c>
      <c r="E63" s="5" t="inlineStr">
        <is>
          <t>Cliente · listado 14/09</t>
        </is>
      </c>
      <c r="F63" s="5" t="inlineStr">
        <is>
          <t>F5</t>
        </is>
      </c>
      <c r="G63" s="5" t="inlineStr">
        <is>
          <t>F5.3</t>
        </is>
      </c>
      <c r="H63" s="5" t="inlineStr">
        <is>
          <t>D</t>
        </is>
      </c>
      <c r="I63" s="5" t="inlineStr">
        <is>
          <t>Cada nota iluminada muestra su nombre y el intervalo T o ST respecto al grado anterior.</t>
        </is>
      </c>
      <c r="J63" s="5" t="inlineStr">
        <is>
          <t>No cumple</t>
        </is>
      </c>
      <c r="K63" s="5" t="inlineStr">
        <is>
          <t>—</t>
        </is>
      </c>
      <c r="L63" s="5" t="inlineStr">
        <is>
          <t>—</t>
        </is>
      </c>
      <c r="M63" s="5" t="inlineStr">
        <is>
          <t>Pendiente</t>
        </is>
      </c>
      <c r="N63" s="5" t="inlineStr">
        <is>
          <t>Cliente</t>
        </is>
      </c>
      <c r="O63" s="5" t="inlineStr">
        <is>
          <t>Etiquetas tipo T — T — ST — T — T — T — ST.</t>
        </is>
      </c>
      <c r="P63" s="6" t="n"/>
      <c r="Q63" s="5" t="inlineStr"/>
    </row>
    <row r="64" ht="48" customHeight="1">
      <c r="A64" s="4" t="inlineStr">
        <is>
          <t>E-05</t>
        </is>
      </c>
      <c r="B64" s="5" t="inlineStr">
        <is>
          <t>Escalas</t>
        </is>
      </c>
      <c r="C64" s="5" t="inlineStr">
        <is>
          <t>Submodo Práctica: valida solo la pertenencia de la nota a la escala; al pulsar una ajena, marca error e ilumina las correctas.</t>
        </is>
      </c>
      <c r="D64" s="5" t="inlineStr">
        <is>
          <t>Alta</t>
        </is>
      </c>
      <c r="E64" s="5" t="inlineStr">
        <is>
          <t>Cliente · listado 14/09</t>
        </is>
      </c>
      <c r="F64" s="5" t="inlineStr">
        <is>
          <t>F5</t>
        </is>
      </c>
      <c r="G64" s="5" t="inlineStr">
        <is>
          <t>F5.4</t>
        </is>
      </c>
      <c r="H64" s="5" t="inlineStr">
        <is>
          <t>T</t>
        </is>
      </c>
      <c r="I64" s="5" t="inlineStr">
        <is>
          <t>En Práctica, una nota ajena marca error e ilumina las correctas; una nota de la escala no marca error.</t>
        </is>
      </c>
      <c r="J64" s="5" t="inlineStr">
        <is>
          <t>No cumple</t>
        </is>
      </c>
      <c r="K64" s="5" t="inlineStr">
        <is>
          <t>—</t>
        </is>
      </c>
      <c r="L64" s="5" t="inlineStr">
        <is>
          <t>—</t>
        </is>
      </c>
      <c r="M64" s="5" t="inlineStr">
        <is>
          <t>Pendiente</t>
        </is>
      </c>
      <c r="N64" s="5" t="inlineStr">
        <is>
          <t>Banco automático + auditor técnico</t>
        </is>
      </c>
      <c r="O64" s="5" t="inlineStr">
        <is>
          <t>Alcance acotado: no valida orden ni digitación.</t>
        </is>
      </c>
      <c r="P64" s="6" t="n"/>
      <c r="Q64" s="5" t="inlineStr"/>
    </row>
    <row r="65" ht="33" customHeight="1">
      <c r="A65" s="4" t="inlineStr">
        <is>
          <t>E-05b</t>
        </is>
      </c>
      <c r="B65" s="5" t="inlineStr">
        <is>
          <t>Escalas</t>
        </is>
      </c>
      <c r="C65" s="5" t="inlineStr">
        <is>
          <t>Validación del orden de la escala y de patrones de digitación concretos.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33" customHeight="1">
      <c r="A66" s="4" t="inlineStr">
        <is>
          <t>E-06</t>
        </is>
      </c>
      <c r="B66" s="5" t="inlineStr">
        <is>
          <t>Escalas</t>
        </is>
      </c>
      <c r="C66" s="5" t="inlineStr">
        <is>
          <t>Guiado nota a nota en el submodo Mostrar.</t>
        </is>
      </c>
      <c r="D66" s="5" t="inlineStr">
        <is>
          <t>Media</t>
        </is>
      </c>
      <c r="E66" s="5" t="inlineStr">
        <is>
          <t>Cliente · listado 14/09</t>
        </is>
      </c>
      <c r="F66" s="5" t="inlineStr">
        <is>
          <t>F5</t>
        </is>
      </c>
      <c r="G66" s="5" t="inlineStr">
        <is>
          <t>F5.3</t>
        </is>
      </c>
      <c r="H66" s="5" t="inlineStr">
        <is>
          <t>D</t>
        </is>
      </c>
      <c r="I66" s="5" t="inlineStr">
        <is>
          <t>El guiado avanza nota a nota por la escala.</t>
        </is>
      </c>
      <c r="J66" s="5" t="inlineStr">
        <is>
          <t>No cumple</t>
        </is>
      </c>
      <c r="K66" s="5" t="inlineStr">
        <is>
          <t>—</t>
        </is>
      </c>
      <c r="L66" s="5" t="inlineStr">
        <is>
          <t>—</t>
        </is>
      </c>
      <c r="M66" s="5" t="inlineStr">
        <is>
          <t>Pendiente</t>
        </is>
      </c>
      <c r="N66" s="5" t="inlineStr">
        <is>
          <t>Cliente</t>
        </is>
      </c>
      <c r="O66" s="5" t="inlineStr"/>
      <c r="P66" s="6" t="n"/>
      <c r="Q66" s="5" t="inlineStr"/>
    </row>
    <row r="67" ht="33" customHeight="1">
      <c r="A67" s="4" t="inlineStr">
        <is>
          <t>A-01</t>
        </is>
      </c>
      <c r="B67" s="5" t="inlineStr">
        <is>
          <t>Afinador</t>
        </is>
      </c>
      <c r="C67" s="5" t="inlineStr">
        <is>
          <t>Afinador por referencia: la app reproduce la nota de cada cuerda para afinar de oído.</t>
        </is>
      </c>
      <c r="D67" s="5" t="inlineStr">
        <is>
          <t>Alta</t>
        </is>
      </c>
      <c r="E67" s="5" t="inlineStr">
        <is>
          <t>Cliente · listado 14/09</t>
        </is>
      </c>
      <c r="F67" s="5" t="inlineStr">
        <is>
          <t>F1</t>
        </is>
      </c>
      <c r="G67" s="5" t="inlineStr">
        <is>
          <t>F1.1</t>
        </is>
      </c>
      <c r="H67" s="5" t="inlineStr">
        <is>
          <t>D</t>
        </is>
      </c>
      <c r="I67" s="5" t="inlineStr">
        <is>
          <t>Pulsar cada cuerda en el afinador reproduce su nota de referencia.</t>
        </is>
      </c>
      <c r="J67" s="5" t="inlineStr">
        <is>
          <t>Cumple</t>
        </is>
      </c>
      <c r="K67" s="5" t="inlineStr">
        <is>
          <t>0.1.0</t>
        </is>
      </c>
      <c r="L67" s="5" t="inlineStr">
        <is>
          <t>F1.1 #14</t>
        </is>
      </c>
      <c r="M67" s="5" t="inlineStr">
        <is>
          <t>Pendiente</t>
        </is>
      </c>
      <c r="N67" s="5" t="inlineStr">
        <is>
          <t>Cliente</t>
        </is>
      </c>
      <c r="O67" s="5" t="inlineStr">
        <is>
          <t>El MVP real del afinador.</t>
        </is>
      </c>
      <c r="P67" s="6" t="n"/>
      <c r="Q67" s="5" t="inlineStr"/>
    </row>
    <row r="68" ht="93" customHeight="1">
      <c r="A68" s="4" t="inlineStr">
        <is>
          <t>A-02</t>
        </is>
      </c>
      <c r="B68" s="5" t="inlineStr">
        <is>
          <t>Afinador</t>
        </is>
      </c>
      <c r="C68" s="5" t="inlineStr">
        <is>
          <t>Afinador por micrófono: capta la cuerda e indica si subir o bajar.</t>
        </is>
      </c>
      <c r="D68" s="5" t="inlineStr">
        <is>
          <t>Alta</t>
        </is>
      </c>
      <c r="E68" s="5" t="inlineStr">
        <is>
          <t>Cliente · listado 14/09</t>
        </is>
      </c>
      <c r="F68" s="5" t="inlineStr">
        <is>
          <t>F4</t>
        </is>
      </c>
      <c r="G68" s="5" t="inlineStr">
        <is>
          <t>F4.3</t>
        </is>
      </c>
      <c r="H68" s="5" t="inlineStr">
        <is>
          <t>D</t>
        </is>
      </c>
      <c r="I68" s="5" t="inlineStr">
        <is>
          <t>Con una guitarra real, el afinador indica subir o bajar hasta dejarla afinada, en estándar y en una alternativa.</t>
        </is>
      </c>
      <c r="J68" s="5" t="inlineStr">
        <is>
          <t>No cumple</t>
        </is>
      </c>
      <c r="K68" s="5" t="inlineStr">
        <is>
          <t>—</t>
        </is>
      </c>
      <c r="L68" s="5" t="inlineStr">
        <is>
          <t>—</t>
        </is>
      </c>
      <c r="M68" s="5" t="inlineStr">
        <is>
          <t>Pendiente</t>
        </is>
      </c>
      <c r="N68" s="5" t="inlineStr">
        <is>
          <t>Cliente</t>
        </is>
      </c>
      <c r="O68" s="5" t="inlineStr">
        <is>
          <t>Exige contexto seguro: funciona en https y en localhost. No funciona con file:// ni desde el móvil por WiFi contra el Live Server del ordenador (http://192.168… no es contexto seguro). En el móvil llega con la publicación (F7.2).</t>
        </is>
      </c>
      <c r="P68" s="6" t="n"/>
      <c r="Q68" s="5" t="inlineStr"/>
    </row>
    <row r="69" ht="63" customHeight="1">
      <c r="A69" s="4" t="inlineStr">
        <is>
          <t>A-02-CA</t>
        </is>
      </c>
      <c r="B69" s="5" t="inlineStr">
        <is>
          <t>Afinador</t>
        </is>
      </c>
      <c r="C69" s="5" t="inlineStr">
        <is>
          <t>Criterios de aceptación de A-02: precisión de detección ±2 cents en silencio razonable, latencia menor de 300 ms; el ruido de fondo queda fuera de la primera entrega.</t>
        </is>
      </c>
      <c r="D69" s="5" t="inlineStr">
        <is>
          <t>Alta</t>
        </is>
      </c>
      <c r="E69" s="5" t="inlineStr">
        <is>
          <t>AR-01</t>
        </is>
      </c>
      <c r="F69" s="5" t="inlineStr">
        <is>
          <t>F4</t>
        </is>
      </c>
      <c r="G69" s="5" t="inlineStr">
        <is>
          <t>F4.2</t>
        </is>
      </c>
      <c r="H69" s="5" t="inlineStr">
        <is>
          <t>T</t>
        </is>
      </c>
      <c r="I69" s="5" t="inlineStr">
        <is>
          <t>Banco de pruebas: error ≤ ±2 cents y latencia &lt; 300 ms sobre muestras desafinadas una cantidad conocida, tomando como referencia su frecuencia medida en samples/afinacion.json.</t>
        </is>
      </c>
      <c r="J69" s="5" t="inlineStr">
        <is>
          <t>No cumple</t>
        </is>
      </c>
      <c r="K69" s="5" t="inlineStr">
        <is>
          <t>—</t>
        </is>
      </c>
      <c r="L69" s="5" t="inlineStr">
        <is>
          <t>—</t>
        </is>
      </c>
      <c r="M69" s="5" t="inlineStr">
        <is>
          <t>Pendiente</t>
        </is>
      </c>
      <c r="N69" s="5" t="inlineStr">
        <is>
          <t>Banco automático + auditor técnico</t>
        </is>
      </c>
      <c r="O69" s="5" t="inlineStr">
        <is>
          <t>La precisión de detección debe ser mejor que el umbral de «afinado» de A-03.</t>
        </is>
      </c>
      <c r="P69" s="6" t="n"/>
      <c r="Q69" s="5" t="inlineStr"/>
    </row>
    <row r="70" ht="33" customHeight="1">
      <c r="A70" s="4" t="inlineStr">
        <is>
          <t>A-03</t>
        </is>
      </c>
      <c r="B70" s="5" t="inlineStr">
        <is>
          <t>Afinador</t>
        </is>
      </c>
      <c r="C70" s="5" t="inlineStr">
        <is>
          <t>Indicador de desviación en cents, con umbral de afinado en ±5 cents.</t>
        </is>
      </c>
      <c r="D70" s="5" t="inlineStr">
        <is>
          <t>Alta</t>
        </is>
      </c>
      <c r="E70" s="5" t="inlineStr">
        <is>
          <t>Cliente · listado 14/09</t>
        </is>
      </c>
      <c r="F70" s="5" t="inlineStr">
        <is>
          <t>F4</t>
        </is>
      </c>
      <c r="G70" s="5" t="inlineStr">
        <is>
          <t>F4.3</t>
        </is>
      </c>
      <c r="H70" s="5" t="inlineStr">
        <is>
          <t>D</t>
        </is>
      </c>
      <c r="I70" s="5" t="inlineStr">
        <is>
          <t>La aguja indica la desviación en cents y marca «afinado» dentro de ±5 cents.</t>
        </is>
      </c>
      <c r="J70" s="5" t="inlineStr">
        <is>
          <t>No cumple</t>
        </is>
      </c>
      <c r="K70" s="5" t="inlineStr">
        <is>
          <t>—</t>
        </is>
      </c>
      <c r="L70" s="5" t="inlineStr">
        <is>
          <t>—</t>
        </is>
      </c>
      <c r="M70" s="5" t="inlineStr">
        <is>
          <t>Pendiente</t>
        </is>
      </c>
      <c r="N70" s="5" t="inlineStr">
        <is>
          <t>Cliente</t>
        </is>
      </c>
      <c r="O70" s="5" t="inlineStr"/>
      <c r="P70" s="6" t="n"/>
      <c r="Q70" s="5" t="inlineStr"/>
    </row>
    <row r="71" ht="33" customHeight="1">
      <c r="A71" s="4" t="inlineStr">
        <is>
          <t>A-04</t>
        </is>
      </c>
      <c r="B71" s="5" t="inlineStr">
        <is>
          <t>Afinador</t>
        </is>
      </c>
      <c r="C71" s="5" t="inlineStr">
        <is>
          <t>Detección automática de cuerda por proximidad a la nota detectada.</t>
        </is>
      </c>
      <c r="D71" s="5" t="inlineStr">
        <is>
          <t>Alta</t>
        </is>
      </c>
      <c r="E71" s="5" t="inlineStr">
        <is>
          <t>Cliente · listado 14/09</t>
        </is>
      </c>
      <c r="F71" s="5" t="inlineStr">
        <is>
          <t>F4</t>
        </is>
      </c>
      <c r="G71" s="5" t="inlineStr">
        <is>
          <t>F4.3</t>
        </is>
      </c>
      <c r="H71" s="5" t="inlineStr">
        <is>
          <t>T</t>
        </is>
      </c>
      <c r="I71" s="5" t="inlineStr">
        <is>
          <t>Con la cuerda a menos de un semitono de su nota, el afinador identifica la cuerda correcta.</t>
        </is>
      </c>
      <c r="J71" s="5" t="inlineStr">
        <is>
          <t>No cumple</t>
        </is>
      </c>
      <c r="K71" s="5" t="inlineStr">
        <is>
          <t>—</t>
        </is>
      </c>
      <c r="L71" s="5" t="inlineStr">
        <is>
          <t>—</t>
        </is>
      </c>
      <c r="M71" s="5" t="inlineStr">
        <is>
          <t>Pendiente</t>
        </is>
      </c>
      <c r="N71" s="5" t="inlineStr">
        <is>
          <t>Banco automático + auditor técnico</t>
        </is>
      </c>
      <c r="O71" s="5" t="inlineStr">
        <is>
          <t>Limitación asumida: con una cuerda muy desafinada puede elegir la equivocada.</t>
        </is>
      </c>
      <c r="P71" s="6" t="n"/>
      <c r="Q71" s="5" t="inlineStr"/>
    </row>
    <row r="72" ht="33" customHeight="1">
      <c r="A72" s="4" t="inlineStr">
        <is>
          <t>A-05</t>
        </is>
      </c>
      <c r="B72" s="5" t="inlineStr">
        <is>
          <t>Afinador</t>
        </is>
      </c>
      <c r="C72" s="5" t="inlineStr">
        <is>
          <t>Selección manual de cuerda, que prevalece sobre A-04.</t>
        </is>
      </c>
      <c r="D72" s="5" t="inlineStr">
        <is>
          <t>Alta</t>
        </is>
      </c>
      <c r="E72" s="5" t="inlineStr">
        <is>
          <t>Cliente · listado 14/09</t>
        </is>
      </c>
      <c r="F72" s="5" t="inlineStr">
        <is>
          <t>F4</t>
        </is>
      </c>
      <c r="G72" s="5" t="inlineStr">
        <is>
          <t>F4.3</t>
        </is>
      </c>
      <c r="H72" s="5" t="inlineStr">
        <is>
          <t>D</t>
        </is>
      </c>
      <c r="I72" s="5" t="inlineStr">
        <is>
          <t>Con una cuerda fijada a mano, el afinador la usa como referencia aunque esté muy desafinada.</t>
        </is>
      </c>
      <c r="J72" s="5" t="inlineStr">
        <is>
          <t>No cumple</t>
        </is>
      </c>
      <c r="K72" s="5" t="inlineStr">
        <is>
          <t>—</t>
        </is>
      </c>
      <c r="L72" s="5" t="inlineStr">
        <is>
          <t>—</t>
        </is>
      </c>
      <c r="M72" s="5" t="inlineStr">
        <is>
          <t>Pendiente</t>
        </is>
      </c>
      <c r="N72" s="5" t="inlineStr">
        <is>
          <t>Cliente</t>
        </is>
      </c>
      <c r="O72" s="5" t="inlineStr">
        <is>
          <t>Resuelve la limitación anterior.</t>
        </is>
      </c>
      <c r="P72" s="6" t="n"/>
      <c r="Q72" s="5" t="inlineStr"/>
    </row>
    <row r="73" ht="33" customHeight="1">
      <c r="A73" s="4" t="inlineStr">
        <is>
          <t>A-06</t>
        </is>
      </c>
      <c r="B73" s="5" t="inlineStr">
        <is>
          <t>Afinador</t>
        </is>
      </c>
      <c r="C73" s="5" t="inlineStr">
        <is>
          <t>Afinación estándar (E A D G B E).</t>
        </is>
      </c>
      <c r="D73" s="5" t="inlineStr">
        <is>
          <t>Alta</t>
        </is>
      </c>
      <c r="E73" s="5" t="inlineStr">
        <is>
          <t>Cliente · listado 14/09</t>
        </is>
      </c>
      <c r="F73" s="5" t="inlineStr">
        <is>
          <t>F1</t>
        </is>
      </c>
      <c r="G73" s="5" t="inlineStr">
        <is>
          <t>F1.1</t>
        </is>
      </c>
      <c r="H73" s="5" t="inlineStr">
        <is>
          <t>I</t>
        </is>
      </c>
      <c r="I73" s="5" t="inlineStr">
        <is>
          <t>La afinación estándar es E2 A2 D3 G3 B3 E4.</t>
        </is>
      </c>
      <c r="J73" s="5" t="inlineStr">
        <is>
          <t>Cumple</t>
        </is>
      </c>
      <c r="K73" s="5" t="inlineStr">
        <is>
          <t>0.1.0</t>
        </is>
      </c>
      <c r="L73" s="5" t="inlineStr">
        <is>
          <t>F1.1 #14</t>
        </is>
      </c>
      <c r="M73" s="5" t="inlineStr">
        <is>
          <t>Pendiente</t>
        </is>
      </c>
      <c r="N73" s="5" t="inlineStr">
        <is>
          <t>Auditor de requisitos</t>
        </is>
      </c>
      <c r="O73" s="5" t="inlineStr"/>
      <c r="P73" s="6" t="n"/>
      <c r="Q73" s="5" t="inlineStr"/>
    </row>
    <row r="74" ht="48" customHeight="1">
      <c r="A74" s="4" t="inlineStr">
        <is>
          <t>A-07</t>
        </is>
      </c>
      <c r="B74" s="5" t="inlineStr">
        <is>
          <t>Afinador</t>
        </is>
      </c>
      <c r="C74" s="5" t="inlineStr">
        <is>
          <t>Cinco afinaciones alternativas predefinidas: Drop D, medio tono abajo, Open G, Open D y DADGAD.</t>
        </is>
      </c>
      <c r="D74" s="5" t="inlineStr">
        <is>
          <t>Alta</t>
        </is>
      </c>
      <c r="E74" s="5" t="inlineStr">
        <is>
          <t>Cliente · listado 14/09</t>
        </is>
      </c>
      <c r="F74" s="5" t="inlineStr">
        <is>
          <t>F1</t>
        </is>
      </c>
      <c r="G74" s="5" t="inlineStr">
        <is>
          <t>F1.1</t>
        </is>
      </c>
      <c r="H74" s="5" t="inlineStr">
        <is>
          <t>I</t>
        </is>
      </c>
      <c r="I74" s="5" t="inlineStr">
        <is>
          <t>Existen Drop D, medio tono abajo, Open G, Open D y DADGAD con sus notas correctas.</t>
        </is>
      </c>
      <c r="J74" s="5" t="inlineStr">
        <is>
          <t>Cumple</t>
        </is>
      </c>
      <c r="K74" s="5" t="inlineStr">
        <is>
          <t>0.1.0</t>
        </is>
      </c>
      <c r="L74" s="5" t="inlineStr">
        <is>
          <t>F1.1 #14</t>
        </is>
      </c>
      <c r="M74" s="5" t="inlineStr">
        <is>
          <t>Pendiente</t>
        </is>
      </c>
      <c r="N74" s="5" t="inlineStr">
        <is>
          <t>Auditor de requisitos</t>
        </is>
      </c>
      <c r="O74" s="5" t="inlineStr"/>
      <c r="P74" s="6" t="n"/>
      <c r="Q74" s="5" t="inlineStr"/>
    </row>
    <row r="75" ht="33" customHeight="1">
      <c r="A75" s="4" t="inlineStr">
        <is>
          <t>A-08</t>
        </is>
      </c>
      <c r="B75" s="5" t="inlineStr">
        <is>
          <t>Afinador</t>
        </is>
      </c>
      <c r="C75" s="5" t="inlineStr">
        <is>
          <t>Afinación personalizada ajustando cada cuerda por semitonos.</t>
        </is>
      </c>
      <c r="D75" s="5" t="inlineStr">
        <is>
          <t>Alta</t>
        </is>
      </c>
      <c r="E75" s="5" t="inlineStr">
        <is>
          <t>Cliente · listado 14/09</t>
        </is>
      </c>
      <c r="F75" s="5" t="inlineStr">
        <is>
          <t>F1</t>
        </is>
      </c>
      <c r="G75" s="5" t="inlineStr">
        <is>
          <t>F1.1</t>
        </is>
      </c>
      <c r="H75" s="5" t="inlineStr">
        <is>
          <t>D</t>
        </is>
      </c>
      <c r="I75" s="5" t="inlineStr">
        <is>
          <t>Los botones +/− mueven la cuerda un semitono y pasan a Personalizada sin alterar los presets.</t>
        </is>
      </c>
      <c r="J75" s="5" t="inlineStr">
        <is>
          <t>Cumple</t>
        </is>
      </c>
      <c r="K75" s="5" t="inlineStr">
        <is>
          <t>0.1.0</t>
        </is>
      </c>
      <c r="L75" s="5" t="inlineStr">
        <is>
          <t>F1.1 #4</t>
        </is>
      </c>
      <c r="M75" s="5" t="inlineStr">
        <is>
          <t>Pendiente</t>
        </is>
      </c>
      <c r="N75" s="5" t="inlineStr">
        <is>
          <t>Cliente</t>
        </is>
      </c>
      <c r="O75" s="5" t="inlineStr">
        <is>
          <t>Cualquier ajuste convierte la afinación en personalizada sin alterar los presets.</t>
        </is>
      </c>
      <c r="P75" s="6" t="n"/>
      <c r="Q75" s="5" t="inlineStr"/>
    </row>
    <row r="76" ht="33" customHeight="1">
      <c r="A76" s="4" t="inlineStr">
        <is>
          <t>A-09</t>
        </is>
      </c>
      <c r="B76" s="5" t="inlineStr">
        <is>
          <t>Afinador</t>
        </is>
      </c>
      <c r="C76" s="5" t="inlineStr">
        <is>
          <t>Al seleccionar una afinación se muestran sus notas en un pentagrama.</t>
        </is>
      </c>
      <c r="D76" s="5" t="inlineStr">
        <is>
          <t>Media</t>
        </is>
      </c>
      <c r="E76" s="5" t="inlineStr">
        <is>
          <t>Cliente · listado 14/09</t>
        </is>
      </c>
      <c r="F76" s="5" t="inlineStr">
        <is>
          <t>F1</t>
        </is>
      </c>
      <c r="G76" s="5" t="inlineStr">
        <is>
          <t>F1.1</t>
        </is>
      </c>
      <c r="H76" s="5" t="inlineStr">
        <is>
          <t>D</t>
        </is>
      </c>
      <c r="I76" s="5" t="inlineStr">
        <is>
          <t>El pentagrama del afinador refleja la afinación seleccionada.</t>
        </is>
      </c>
      <c r="J76" s="5" t="inlineStr">
        <is>
          <t>Cumple</t>
        </is>
      </c>
      <c r="K76" s="5" t="inlineStr">
        <is>
          <t>0.1.0</t>
        </is>
      </c>
      <c r="L76" s="5" t="inlineStr">
        <is>
          <t>F1.1 #14</t>
        </is>
      </c>
      <c r="M76" s="5" t="inlineStr">
        <is>
          <t>Pendiente</t>
        </is>
      </c>
      <c r="N76" s="5" t="inlineStr">
        <is>
          <t>Cliente</t>
        </is>
      </c>
      <c r="O76" s="5" t="inlineStr">
        <is>
          <t>Ver P-04.</t>
        </is>
      </c>
      <c r="P76" s="6" t="n"/>
      <c r="Q76" s="5" t="inlineStr"/>
    </row>
    <row r="77" ht="48" customHeight="1">
      <c r="A77" s="4" t="inlineStr">
        <is>
          <t>A-10</t>
        </is>
      </c>
      <c r="B77" s="5" t="inlineStr">
        <is>
          <t>Afinador</t>
        </is>
      </c>
      <c r="C77" s="5" t="inlineStr">
        <is>
          <t>La afinación activa se aplica también a los modos de aprendizaje.</t>
        </is>
      </c>
      <c r="D77" s="5" t="inlineStr">
        <is>
          <t>Alta</t>
        </is>
      </c>
      <c r="E77" s="5" t="inlineStr">
        <is>
          <t>Cliente · listado 14/09</t>
        </is>
      </c>
      <c r="F77" s="5" t="inlineStr">
        <is>
          <t>F1</t>
        </is>
      </c>
      <c r="G77" s="5" t="inlineStr">
        <is>
          <t>F1.1</t>
        </is>
      </c>
      <c r="H77" s="5" t="inlineStr">
        <is>
          <t>T</t>
        </is>
      </c>
      <c r="I77" s="5" t="inlineStr">
        <is>
          <t>Al cambiar de afinación, el mástil y los retos se rehacen con las nuevas notas.</t>
        </is>
      </c>
      <c r="J77" s="5" t="inlineStr">
        <is>
          <t>Cumple</t>
        </is>
      </c>
      <c r="K77" s="5" t="inlineStr">
        <is>
          <t>0.1.0</t>
        </is>
      </c>
      <c r="L77" s="5" t="inlineStr">
        <is>
          <t>Banco (node --test): Drop D</t>
        </is>
      </c>
      <c r="M77" s="5" t="inlineStr">
        <is>
          <t>Verificado parcialmente</t>
        </is>
      </c>
      <c r="N77" s="5" t="inlineStr">
        <is>
          <t>Banco automático + auditor técnico</t>
        </is>
      </c>
      <c r="O77" s="5" t="inlineStr">
        <is>
          <t>Ninguna nota está escrita a mano: todas derivan de la afinación activa, y la propagación ocurre en un único punto del código.</t>
        </is>
      </c>
      <c r="P77" s="6" t="n"/>
      <c r="Q77" s="5" t="inlineStr"/>
    </row>
    <row r="78" ht="33" customHeight="1">
      <c r="A78" s="4" t="inlineStr">
        <is>
          <t>A-11</t>
        </is>
      </c>
      <c r="B78" s="5" t="inlineStr">
        <is>
          <t>Afinador</t>
        </is>
      </c>
      <c r="C78" s="5" t="inlineStr">
        <is>
          <t>La afinación persiste entre sesiones.</t>
        </is>
      </c>
      <c r="D78" s="5" t="inlineStr">
        <is>
          <t>Media</t>
        </is>
      </c>
      <c r="E78" s="5" t="inlineStr">
        <is>
          <t>Cliente · listado 14/09</t>
        </is>
      </c>
      <c r="F78" s="5" t="inlineStr">
        <is>
          <t>F1</t>
        </is>
      </c>
      <c r="G78" s="5" t="inlineStr">
        <is>
          <t>F1.1</t>
        </is>
      </c>
      <c r="H78" s="5" t="inlineStr">
        <is>
          <t>D</t>
        </is>
      </c>
      <c r="I78" s="5" t="inlineStr">
        <is>
          <t>Tras recargar se mantiene la afinación, incluida la personalizada.</t>
        </is>
      </c>
      <c r="J78" s="5" t="inlineStr">
        <is>
          <t>Cumple</t>
        </is>
      </c>
      <c r="K78" s="5" t="inlineStr">
        <is>
          <t>0.1.0</t>
        </is>
      </c>
      <c r="L78" s="5" t="inlineStr">
        <is>
          <t>F1.1 #13</t>
        </is>
      </c>
      <c r="M78" s="5" t="inlineStr">
        <is>
          <t>Pendiente</t>
        </is>
      </c>
      <c r="N78" s="5" t="inlineStr">
        <is>
          <t>Cliente</t>
        </is>
      </c>
      <c r="O78" s="5" t="inlineStr"/>
      <c r="P78" s="6" t="n"/>
      <c r="Q78" s="5" t="inlineStr"/>
    </row>
    <row r="79" ht="63" customHeight="1">
      <c r="A79" s="4" t="inlineStr">
        <is>
          <t>V-01</t>
        </is>
      </c>
      <c r="B79" s="5" t="inlineStr">
        <is>
          <t>Visualización</t>
        </is>
      </c>
      <c r="C79" s="5" t="inlineStr">
        <is>
          <t>En móvil se sugiere la orientación horizontal con un aviso discreto; no se fuerza.</t>
        </is>
      </c>
      <c r="D79" s="5" t="inlineStr">
        <is>
          <t>Alta</t>
        </is>
      </c>
      <c r="E79" s="5" t="inlineStr">
        <is>
          <t>Cliente · listado 14/09</t>
        </is>
      </c>
      <c r="F79" s="5" t="inlineStr">
        <is>
          <t>F3</t>
        </is>
      </c>
      <c r="G79" s="5" t="inlineStr">
        <is>
          <t>F3.2</t>
        </is>
      </c>
      <c r="H79" s="5" t="inlineStr">
        <is>
          <t>D</t>
        </is>
      </c>
      <c r="I79" s="5" t="inlineStr">
        <is>
          <t>En un móvil apaisado cada cuerda mide al menos 40 px, y en vertical aparece el aviso para girar.</t>
        </is>
      </c>
      <c r="J79" s="5" t="inlineStr">
        <is>
          <t>Cumple parcialmente</t>
        </is>
      </c>
      <c r="K79" s="5" t="inlineStr">
        <is>
          <t>0.1.0</t>
        </is>
      </c>
      <c r="L79" s="5" t="inlineStr">
        <is>
          <t>—</t>
        </is>
      </c>
      <c r="M79" s="5" t="inlineStr">
        <is>
          <t>Pendiente</t>
        </is>
      </c>
      <c r="N79" s="5" t="inlineStr">
        <is>
          <t>Cliente</t>
        </is>
      </c>
      <c r="O79" s="5" t="inlineStr">
        <is>
          <t>El bloqueo de orientación tiene mal soporte en iOS. Menos trastes visibles en vertical es la solución adoptada. Falta el aviso y un diseño apaisado que dé altura a las cuerdas.</t>
        </is>
      </c>
      <c r="P79" s="6" t="n"/>
      <c r="Q79" s="5" t="inlineStr"/>
    </row>
    <row r="80" ht="33" customHeight="1">
      <c r="A80" s="4" t="inlineStr">
        <is>
          <t>V-02</t>
        </is>
      </c>
      <c r="B80" s="5" t="inlineStr">
        <is>
          <t>Visualización</t>
        </is>
      </c>
      <c r="C80" s="5" t="inlineStr">
        <is>
          <t>El afinador funciona en vertical y en horizontal.</t>
        </is>
      </c>
      <c r="D80" s="5" t="inlineStr">
        <is>
          <t>Alta</t>
        </is>
      </c>
      <c r="E80" s="5" t="inlineStr">
        <is>
          <t>Cliente · listado 14/09</t>
        </is>
      </c>
      <c r="F80" s="5" t="inlineStr">
        <is>
          <t>F1</t>
        </is>
      </c>
      <c r="G80" s="5" t="inlineStr">
        <is>
          <t>F1.1</t>
        </is>
      </c>
      <c r="H80" s="5" t="inlineStr">
        <is>
          <t>D</t>
        </is>
      </c>
      <c r="I80" s="5" t="inlineStr">
        <is>
          <t>El afinador se usa con comodidad en vertical y en horizontal.</t>
        </is>
      </c>
      <c r="J80" s="5" t="inlineStr">
        <is>
          <t>Cumple</t>
        </is>
      </c>
      <c r="K80" s="5" t="inlineStr">
        <is>
          <t>0.1.0</t>
        </is>
      </c>
      <c r="L80" s="5" t="inlineStr">
        <is>
          <t>F1.1 #14</t>
        </is>
      </c>
      <c r="M80" s="5" t="inlineStr">
        <is>
          <t>Pendiente</t>
        </is>
      </c>
      <c r="N80" s="5" t="inlineStr">
        <is>
          <t>Cliente</t>
        </is>
      </c>
      <c r="O80" s="5" t="inlineStr"/>
      <c r="P80" s="6" t="n"/>
      <c r="Q80" s="5" t="inlineStr"/>
    </row>
    <row r="81" ht="33" customHeight="1">
      <c r="A81" s="4" t="inlineStr">
        <is>
          <t>V-03</t>
        </is>
      </c>
      <c r="B81" s="5" t="inlineStr">
        <is>
          <t>Visualización</t>
        </is>
      </c>
      <c r="C81" s="5" t="inlineStr">
        <is>
          <t>En escritorio el mástil aprovecha el ancho disponible.</t>
        </is>
      </c>
      <c r="D81" s="5" t="inlineStr">
        <is>
          <t>Alta</t>
        </is>
      </c>
      <c r="E81" s="5" t="inlineStr">
        <is>
          <t>Cliente · listado 14/09</t>
        </is>
      </c>
      <c r="F81" s="5" t="inlineStr">
        <is>
          <t>F1</t>
        </is>
      </c>
      <c r="G81" s="5" t="inlineStr">
        <is>
          <t>F1.1</t>
        </is>
      </c>
      <c r="H81" s="5" t="inlineStr">
        <is>
          <t>D</t>
        </is>
      </c>
      <c r="I81" s="5" t="inlineStr">
        <is>
          <t>En una pantalla de 1280 px se ven los 24 trastes sin desplazarse.</t>
        </is>
      </c>
      <c r="J81" s="5" t="inlineStr">
        <is>
          <t>Cumple</t>
        </is>
      </c>
      <c r="K81" s="5" t="inlineStr">
        <is>
          <t>0.1.0</t>
        </is>
      </c>
      <c r="L81" s="5" t="inlineStr">
        <is>
          <t>F1.1 #14</t>
        </is>
      </c>
      <c r="M81" s="5" t="inlineStr">
        <is>
          <t>Pendiente</t>
        </is>
      </c>
      <c r="N81" s="5" t="inlineStr">
        <is>
          <t>Cliente</t>
        </is>
      </c>
      <c r="O81" s="5" t="inlineStr">
        <is>
          <t>Arranca mostrando el mástil completo en pantallas anchas.</t>
        </is>
      </c>
      <c r="P81" s="6" t="n"/>
      <c r="Q81" s="5" t="inlineStr"/>
    </row>
    <row r="82" ht="63" customHeight="1">
      <c r="A82" s="4" t="inlineStr">
        <is>
          <t>V-04</t>
        </is>
      </c>
      <c r="B82" s="5" t="inlineStr">
        <is>
          <t>Visualización</t>
        </is>
      </c>
      <c r="C82" s="5" t="inlineStr">
        <is>
          <t>Control de zoom que determina qué porción del mástil se ve.</t>
        </is>
      </c>
      <c r="D82" s="5" t="inlineStr">
        <is>
          <t>Alta</t>
        </is>
      </c>
      <c r="E82" s="5" t="inlineStr">
        <is>
          <t>Cliente · listado 14/09</t>
        </is>
      </c>
      <c r="F82" s="5" t="inlineStr">
        <is>
          <t>F1</t>
        </is>
      </c>
      <c r="G82" s="5" t="inlineStr">
        <is>
          <t>F1.1</t>
        </is>
      </c>
      <c r="H82" s="5" t="inlineStr">
        <is>
          <t>D</t>
        </is>
      </c>
      <c r="I82" s="5" t="inlineStr">
        <is>
          <t>El zoom cambia los trastes visibles entre 3 y el máximo que cabe, y la etiqueta dice la cifra real.</t>
        </is>
      </c>
      <c r="J82" s="5" t="inlineStr">
        <is>
          <t>Cumple</t>
        </is>
      </c>
      <c r="K82" s="5" t="inlineStr">
        <is>
          <t>0.1.0</t>
        </is>
      </c>
      <c r="L82" s="5" t="inlineStr">
        <is>
          <t>F1.1 #7 y #8</t>
        </is>
      </c>
      <c r="M82" s="5" t="inlineStr">
        <is>
          <t>Pendiente</t>
        </is>
      </c>
      <c r="N82" s="5" t="inlineStr">
        <is>
          <t>Cliente</t>
        </is>
      </c>
      <c r="O82" s="5" t="inlineStr">
        <is>
          <t>De 3 a 24 trastes a la vista. Desde 0.1.1 la etiqueta indica los trastes que caben de verdad, y el zoom conserva el tramo que estabas mirando.</t>
        </is>
      </c>
      <c r="P82" s="6" t="n"/>
      <c r="Q82" s="5" t="inlineStr"/>
    </row>
    <row r="83" ht="33" customHeight="1">
      <c r="A83" s="4" t="inlineStr">
        <is>
          <t>V-05</t>
        </is>
      </c>
      <c r="B83" s="5" t="inlineStr">
        <is>
          <t>Visualización</t>
        </is>
      </c>
      <c r="C83" s="5" t="inlineStr">
        <is>
          <t>Cuando el mástil no cabe, el usuario se desplaza lateralmente.</t>
        </is>
      </c>
      <c r="D83" s="5" t="inlineStr">
        <is>
          <t>Alta</t>
        </is>
      </c>
      <c r="E83" s="5" t="inlineStr">
        <is>
          <t>Cliente · listado 14/09</t>
        </is>
      </c>
      <c r="F83" s="5" t="inlineStr">
        <is>
          <t>F1</t>
        </is>
      </c>
      <c r="G83" s="5" t="inlineStr">
        <is>
          <t>F1.1</t>
        </is>
      </c>
      <c r="H83" s="5" t="inlineStr">
        <is>
          <t>D</t>
        </is>
      </c>
      <c r="I83" s="5" t="inlineStr">
        <is>
          <t>Con el mástil más ancho que la pantalla se puede desplazar hasta el traste 24.</t>
        </is>
      </c>
      <c r="J83" s="5" t="inlineStr">
        <is>
          <t>Cumple</t>
        </is>
      </c>
      <c r="K83" s="5" t="inlineStr">
        <is>
          <t>0.1.0</t>
        </is>
      </c>
      <c r="L83" s="5" t="inlineStr">
        <is>
          <t>F1.1 #14</t>
        </is>
      </c>
      <c r="M83" s="5" t="inlineStr">
        <is>
          <t>Pendiente</t>
        </is>
      </c>
      <c r="N83" s="5" t="inlineStr">
        <is>
          <t>Cliente</t>
        </is>
      </c>
      <c r="O83" s="5" t="inlineStr"/>
      <c r="P83" s="6" t="n"/>
      <c r="Q83" s="5" t="inlineStr"/>
    </row>
    <row r="84" ht="48" customHeight="1">
      <c r="A84" s="4" t="inlineStr">
        <is>
          <t>V-06</t>
        </is>
      </c>
      <c r="B84" s="5" t="inlineStr">
        <is>
          <t>Visualización</t>
        </is>
      </c>
      <c r="C84" s="5" t="inlineStr">
        <is>
          <t>El ancho de traste no cambia al desplazarse: el zoom fija el tamaño y el desplazamiento mueve la ventana.</t>
        </is>
      </c>
      <c r="D84" s="5" t="inlineStr">
        <is>
          <t>Alta</t>
        </is>
      </c>
      <c r="E84" s="5" t="inlineStr">
        <is>
          <t>Cliente · listado 14/09</t>
        </is>
      </c>
      <c r="F84" s="5" t="inlineStr">
        <is>
          <t>F1</t>
        </is>
      </c>
      <c r="G84" s="5" t="inlineStr">
        <is>
          <t>F1.1</t>
        </is>
      </c>
      <c r="H84" s="5" t="inlineStr">
        <is>
          <t>D</t>
        </is>
      </c>
      <c r="I84" s="5" t="inlineStr">
        <is>
          <t>Desplazarse no cambia el ancho de los trastes.</t>
        </is>
      </c>
      <c r="J84" s="5" t="inlineStr">
        <is>
          <t>Cumple</t>
        </is>
      </c>
      <c r="K84" s="5" t="inlineStr">
        <is>
          <t>0.1.0</t>
        </is>
      </c>
      <c r="L84" s="5" t="inlineStr">
        <is>
          <t>F1.1 #7</t>
        </is>
      </c>
      <c r="M84" s="5" t="inlineStr">
        <is>
          <t>Pendiente</t>
        </is>
      </c>
      <c r="N84" s="5" t="inlineStr">
        <is>
          <t>Cliente</t>
        </is>
      </c>
      <c r="O84" s="5" t="inlineStr"/>
      <c r="P84" s="6" t="n"/>
      <c r="Q84" s="5" t="inlineStr"/>
    </row>
    <row r="85" ht="33" customHeight="1">
      <c r="A85" s="4" t="inlineStr">
        <is>
          <t>V-07</t>
        </is>
      </c>
      <c r="B85" s="5" t="inlineStr">
        <is>
          <t>Visualización</t>
        </is>
      </c>
      <c r="C85" s="5" t="inlineStr">
        <is>
          <t>El mástil se readapta al redimensionar la ventana.</t>
        </is>
      </c>
      <c r="D85" s="5" t="inlineStr">
        <is>
          <t>Alta</t>
        </is>
      </c>
      <c r="E85" s="5" t="inlineStr">
        <is>
          <t>Cliente · listado 14/09</t>
        </is>
      </c>
      <c r="F85" s="5" t="inlineStr">
        <is>
          <t>F1</t>
        </is>
      </c>
      <c r="G85" s="5" t="inlineStr">
        <is>
          <t>F1.1</t>
        </is>
      </c>
      <c r="H85" s="5" t="inlineStr">
        <is>
          <t>D</t>
        </is>
      </c>
      <c r="I85" s="5" t="inlineStr">
        <is>
          <t>Al redimensionar la ventana el mástil se reajusta sin perder el tramo visible.</t>
        </is>
      </c>
      <c r="J85" s="5" t="inlineStr">
        <is>
          <t>Cumple</t>
        </is>
      </c>
      <c r="K85" s="5" t="inlineStr">
        <is>
          <t>0.1.0</t>
        </is>
      </c>
      <c r="L85" s="5" t="inlineStr">
        <is>
          <t>F1.1 #7</t>
        </is>
      </c>
      <c r="M85" s="5" t="inlineStr">
        <is>
          <t>Pendiente</t>
        </is>
      </c>
      <c r="N85" s="5" t="inlineStr">
        <is>
          <t>Cliente</t>
        </is>
      </c>
      <c r="O85" s="5" t="inlineStr"/>
      <c r="P85" s="6" t="n"/>
      <c r="Q85" s="5" t="inlineStr"/>
    </row>
    <row r="86" ht="33" customHeight="1">
      <c r="A86" s="4" t="inlineStr">
        <is>
          <t>V-08</t>
        </is>
      </c>
      <c r="B86" s="5" t="inlineStr">
        <is>
          <t>Visualización</t>
        </is>
      </c>
      <c r="C86" s="5" t="inlineStr">
        <is>
          <t>El nivel de zoom persiste entre sesiones.</t>
        </is>
      </c>
      <c r="D86" s="5" t="inlineStr">
        <is>
          <t>Baja</t>
        </is>
      </c>
      <c r="E86" s="5" t="inlineStr">
        <is>
          <t>Cliente · listado 14/09</t>
        </is>
      </c>
      <c r="F86" s="5" t="inlineStr">
        <is>
          <t>F1</t>
        </is>
      </c>
      <c r="G86" s="5" t="inlineStr">
        <is>
          <t>F1.1</t>
        </is>
      </c>
      <c r="H86" s="5" t="inlineStr">
        <is>
          <t>D</t>
        </is>
      </c>
      <c r="I86" s="5" t="inlineStr">
        <is>
          <t>El zoom se mantiene tras recargar y tras girar el móvil.</t>
        </is>
      </c>
      <c r="J86" s="5" t="inlineStr">
        <is>
          <t>Cumple</t>
        </is>
      </c>
      <c r="K86" s="5" t="inlineStr">
        <is>
          <t>0.1.0</t>
        </is>
      </c>
      <c r="L86" s="5" t="inlineStr">
        <is>
          <t>F1.1 #13</t>
        </is>
      </c>
      <c r="M86" s="5" t="inlineStr">
        <is>
          <t>Pendiente</t>
        </is>
      </c>
      <c r="N86" s="5" t="inlineStr">
        <is>
          <t>Cliente</t>
        </is>
      </c>
      <c r="O86" s="5" t="inlineStr">
        <is>
          <t>Desde 0.1.1 girar el móvil ya no pisa el zoom elegido.</t>
        </is>
      </c>
      <c r="P86" s="6" t="n"/>
      <c r="Q86" s="5" t="inlineStr"/>
    </row>
    <row r="87" ht="48" customHeight="1">
      <c r="A87" s="4" t="inlineStr">
        <is>
          <t>V-09</t>
        </is>
      </c>
      <c r="B87" s="5" t="inlineStr">
        <is>
          <t>Visualización</t>
        </is>
      </c>
      <c r="C87" s="5" t="inlineStr">
        <is>
          <t>Al ocultar la numeración se puede conservar una referencia de tramo: el modo «Guía» deja solo los números de los trastes con marca.</t>
        </is>
      </c>
      <c r="D87" s="5" t="inlineStr">
        <is>
          <t>Media</t>
        </is>
      </c>
      <c r="E87" s="5" t="inlineStr">
        <is>
          <t>AR-01</t>
        </is>
      </c>
      <c r="F87" s="5" t="inlineStr">
        <is>
          <t>F1</t>
        </is>
      </c>
      <c r="G87" s="5" t="inlineStr">
        <is>
          <t>F1.3</t>
        </is>
      </c>
      <c r="H87" s="5" t="inlineStr">
        <is>
          <t>T</t>
        </is>
      </c>
      <c r="I87" s="5" t="inlineStr">
        <is>
          <t>El modo Guía mantiene visibles solo los números de los trastes con marca.</t>
        </is>
      </c>
      <c r="J87" s="5" t="inlineStr">
        <is>
          <t>Cumple</t>
        </is>
      </c>
      <c r="K87" s="5" t="inlineStr">
        <is>
          <t>0.1.2</t>
        </is>
      </c>
      <c r="L87" s="5" t="inlineStr">
        <is>
          <t>Banco (node --test) · F1.1 #11</t>
        </is>
      </c>
      <c r="M87" s="5" t="inlineStr">
        <is>
          <t>Verificado parcialmente</t>
        </is>
      </c>
      <c r="N87" s="5" t="inlineStr">
        <is>
          <t>Banco automático + auditor técnico</t>
        </is>
      </c>
      <c r="O87" s="5" t="inlineStr">
        <is>
          <t>Sin números, los trastes 5 y 17 llevan la misma marca y se confunden. Se descartó el minimapa por desproporcionado.</t>
        </is>
      </c>
      <c r="P87" s="6" t="n"/>
      <c r="Q87" s="5" t="inlineStr"/>
    </row>
    <row r="88" ht="33" customHeight="1">
      <c r="A88" s="4" t="inlineStr">
        <is>
          <t>C-01</t>
        </is>
      </c>
      <c r="B88" s="5" t="inlineStr">
        <is>
          <t>Configuración y navegación</t>
        </is>
      </c>
      <c r="C88" s="5" t="inlineStr">
        <is>
          <t>Menú de configuración accesible desde cualquier pantalla.</t>
        </is>
      </c>
      <c r="D88" s="5" t="inlineStr">
        <is>
          <t>Alta</t>
        </is>
      </c>
      <c r="E88" s="5" t="inlineStr">
        <is>
          <t>Cliente · listado 14/09</t>
        </is>
      </c>
      <c r="F88" s="5" t="inlineStr">
        <is>
          <t>F1</t>
        </is>
      </c>
      <c r="G88" s="5" t="inlineStr">
        <is>
          <t>F1.1</t>
        </is>
      </c>
      <c r="H88" s="5" t="inlineStr">
        <is>
          <t>D</t>
        </is>
      </c>
      <c r="I88" s="5" t="inlineStr">
        <is>
          <t>El botón de Ajustes abre el panel desde cualquier pantalla y Escape lo cierra.</t>
        </is>
      </c>
      <c r="J88" s="5" t="inlineStr">
        <is>
          <t>Cumple</t>
        </is>
      </c>
      <c r="K88" s="5" t="inlineStr">
        <is>
          <t>0.1.0</t>
        </is>
      </c>
      <c r="L88" s="5" t="inlineStr">
        <is>
          <t>F1.1 #14</t>
        </is>
      </c>
      <c r="M88" s="5" t="inlineStr">
        <is>
          <t>Pendiente</t>
        </is>
      </c>
      <c r="N88" s="5" t="inlineStr">
        <is>
          <t>Cliente</t>
        </is>
      </c>
      <c r="O88" s="5" t="inlineStr">
        <is>
          <t>Panel deslizante desde la cabecera.</t>
        </is>
      </c>
      <c r="P88" s="6" t="n"/>
      <c r="Q88" s="5" t="inlineStr"/>
    </row>
    <row r="89" ht="63" customHeight="1">
      <c r="A89" s="4" t="inlineStr">
        <is>
          <t>C-02</t>
        </is>
      </c>
      <c r="B89" s="5" t="inlineStr">
        <is>
          <t>Configuración y navegación</t>
        </is>
      </c>
      <c r="C89" s="5" t="inlineStr">
        <is>
          <t>El menú contiene nomenclatura, pentagrama, timbre, numeración de trastes (tres modos), ver todas las notas, señalar iguales y afinación activa, y muestra la versión de la app.</t>
        </is>
      </c>
      <c r="D89" s="5" t="inlineStr">
        <is>
          <t>Alta</t>
        </is>
      </c>
      <c r="E89" s="5" t="inlineStr">
        <is>
          <t>Cliente · listado 14/09</t>
        </is>
      </c>
      <c r="F89" s="5" t="inlineStr">
        <is>
          <t>F1</t>
        </is>
      </c>
      <c r="G89" s="5" t="inlineStr">
        <is>
          <t>F1.1</t>
        </is>
      </c>
      <c r="H89" s="5" t="inlineStr">
        <is>
          <t>I</t>
        </is>
      </c>
      <c r="I89" s="5" t="inlineStr">
        <is>
          <t>El panel contiene todos los ajustes listados y la versión de la app.</t>
        </is>
      </c>
      <c r="J89" s="5" t="inlineStr">
        <is>
          <t>Cumple</t>
        </is>
      </c>
      <c r="K89" s="5" t="inlineStr">
        <is>
          <t>0.1.0</t>
        </is>
      </c>
      <c r="L89" s="5" t="inlineStr">
        <is>
          <t>F1.1 #12</t>
        </is>
      </c>
      <c r="M89" s="5" t="inlineStr">
        <is>
          <t>Pendiente</t>
        </is>
      </c>
      <c r="N89" s="5" t="inlineStr">
        <is>
          <t>Auditor de requisitos</t>
        </is>
      </c>
      <c r="O89" s="5" t="inlineStr">
        <is>
          <t>Ampliado en 0.1.2 con la numeración en tres modos y la versión (G-10).</t>
        </is>
      </c>
      <c r="P89" s="6" t="n"/>
      <c r="Q89" s="5" t="inlineStr"/>
    </row>
    <row r="90" ht="33" customHeight="1">
      <c r="A90" s="4" t="inlineStr">
        <is>
          <t>C-03</t>
        </is>
      </c>
      <c r="B90" s="5" t="inlineStr">
        <is>
          <t>Configuración y navegación</t>
        </is>
      </c>
      <c r="C90" s="5" t="inlineStr">
        <is>
          <t>Los ajustes frecuentes tienen acceso rápido sin abrir el menú.</t>
        </is>
      </c>
      <c r="D90" s="5" t="inlineStr">
        <is>
          <t>Alta</t>
        </is>
      </c>
      <c r="E90" s="5" t="inlineStr">
        <is>
          <t>Cliente · listado 14/09</t>
        </is>
      </c>
      <c r="F90" s="5" t="inlineStr">
        <is>
          <t>F1</t>
        </is>
      </c>
      <c r="G90" s="5" t="inlineStr">
        <is>
          <t>F1.1</t>
        </is>
      </c>
      <c r="H90" s="5" t="inlineStr">
        <is>
          <t>D</t>
        </is>
      </c>
      <c r="I90" s="5" t="inlineStr">
        <is>
          <t>Nomenclatura, pentagrama y pistas tienen chips de acceso rápido.</t>
        </is>
      </c>
      <c r="J90" s="5" t="inlineStr">
        <is>
          <t>Cumple</t>
        </is>
      </c>
      <c r="K90" s="5" t="inlineStr">
        <is>
          <t>0.1.0</t>
        </is>
      </c>
      <c r="L90" s="5" t="inlineStr">
        <is>
          <t>F1.1 #14</t>
        </is>
      </c>
      <c r="M90" s="5" t="inlineStr">
        <is>
          <t>Pendiente</t>
        </is>
      </c>
      <c r="N90" s="5" t="inlineStr">
        <is>
          <t>Cliente</t>
        </is>
      </c>
      <c r="O90" s="5" t="inlineStr">
        <is>
          <t>Nomenclatura, pentagrama y las dos pistas del juego.</t>
        </is>
      </c>
      <c r="P90" s="6" t="n"/>
      <c r="Q90" s="5" t="inlineStr"/>
    </row>
    <row r="91" ht="33" customHeight="1">
      <c r="A91" s="4" t="inlineStr">
        <is>
          <t>C-04</t>
        </is>
      </c>
      <c r="B91" s="5" t="inlineStr">
        <is>
          <t>Configuración y navegación</t>
        </is>
      </c>
      <c r="C91" s="5" t="inlineStr">
        <is>
          <t>Navegación principal clara entre las áreas de la app.</t>
        </is>
      </c>
      <c r="D91" s="5" t="inlineStr">
        <is>
          <t>Alta</t>
        </is>
      </c>
      <c r="E91" s="5" t="inlineStr">
        <is>
          <t>Cliente · listado 14/09</t>
        </is>
      </c>
      <c r="F91" s="5" t="inlineStr">
        <is>
          <t>F1</t>
        </is>
      </c>
      <c r="G91" s="5" t="inlineStr">
        <is>
          <t>F1.1</t>
        </is>
      </c>
      <c r="H91" s="5" t="inlineStr">
        <is>
          <t>D</t>
        </is>
      </c>
      <c r="I91" s="5" t="inlineStr">
        <is>
          <t>La barra inferior lleva a cada área con un toque.</t>
        </is>
      </c>
      <c r="J91" s="5" t="inlineStr">
        <is>
          <t>Cumple</t>
        </is>
      </c>
      <c r="K91" s="5" t="inlineStr">
        <is>
          <t>0.1.0</t>
        </is>
      </c>
      <c r="L91" s="5" t="inlineStr">
        <is>
          <t>F1.1 #14</t>
        </is>
      </c>
      <c r="M91" s="5" t="inlineStr">
        <is>
          <t>Pendiente</t>
        </is>
      </c>
      <c r="N91" s="5" t="inlineStr">
        <is>
          <t>Cliente</t>
        </is>
      </c>
      <c r="O91" s="5" t="inlineStr">
        <is>
          <t>Barra inferior con cuatro destinos.</t>
        </is>
      </c>
      <c r="P91" s="6" t="n"/>
      <c r="Q91" s="5" t="inlineStr"/>
    </row>
    <row r="92" ht="33" customHeight="1">
      <c r="A92" s="4" t="inlineStr">
        <is>
          <t>C-05</t>
        </is>
      </c>
      <c r="B92" s="5" t="inlineStr">
        <is>
          <t>Configuración y navegación</t>
        </is>
      </c>
      <c r="C92" s="5" t="inlineStr">
        <is>
          <t>Todos los ajustes persisten entre sesiones.</t>
        </is>
      </c>
      <c r="D92" s="5" t="inlineStr">
        <is>
          <t>Media</t>
        </is>
      </c>
      <c r="E92" s="5" t="inlineStr">
        <is>
          <t>Cliente · listado 14/09</t>
        </is>
      </c>
      <c r="F92" s="5" t="inlineStr">
        <is>
          <t>F1</t>
        </is>
      </c>
      <c r="G92" s="5" t="inlineStr">
        <is>
          <t>F1.1</t>
        </is>
      </c>
      <c r="H92" s="5" t="inlineStr">
        <is>
          <t>T</t>
        </is>
      </c>
      <c r="I92" s="5" t="inlineStr">
        <is>
          <t>Todos los ajustes persisten tras recargar, y unos ajustes corruptos o antiguos no rompen la app.</t>
        </is>
      </c>
      <c r="J92" s="5" t="inlineStr">
        <is>
          <t>Cumple</t>
        </is>
      </c>
      <c r="K92" s="5" t="inlineStr">
        <is>
          <t>0.1.0</t>
        </is>
      </c>
      <c r="L92" s="5" t="inlineStr">
        <is>
          <t>Banco (node --test): migración · F1.1 #13</t>
        </is>
      </c>
      <c r="M92" s="5" t="inlineStr">
        <is>
          <t>Verificado parcialmente</t>
        </is>
      </c>
      <c r="N92" s="5" t="inlineStr">
        <is>
          <t>Banco automático + auditor técnico</t>
        </is>
      </c>
      <c r="O92" s="5" t="inlineStr">
        <is>
          <t>Un único objeto de estado, validado campo a campo al leerlo (0.1.1).</t>
        </is>
      </c>
      <c r="P92" s="6" t="n"/>
      <c r="Q92" s="5" t="inlineStr"/>
    </row>
    <row r="93" ht="48" customHeight="1">
      <c r="A93" s="4" t="inlineStr">
        <is>
          <t>C-06</t>
        </is>
      </c>
      <c r="B93" s="5" t="inlineStr">
        <is>
          <t>Configuración y navegación</t>
        </is>
      </c>
      <c r="C93" s="5" t="inlineStr">
        <is>
          <t>Especificación detallada de la interfaz: estructura de menús, jerarquía de controles y flujos de navegación.</t>
        </is>
      </c>
      <c r="D93" s="5" t="inlineStr">
        <is>
          <t>Alta</t>
        </is>
      </c>
      <c r="E93" s="5" t="inlineStr">
        <is>
          <t>Cliente · listado 14/09</t>
        </is>
      </c>
      <c r="F93" s="5" t="inlineStr">
        <is>
          <t>F3</t>
        </is>
      </c>
      <c r="G93" s="5" t="inlineStr">
        <is>
          <t>F3.1</t>
        </is>
      </c>
      <c r="H93" s="5" t="inlineStr">
        <is>
          <t>I</t>
        </is>
      </c>
      <c r="I93" s="5" t="inlineStr">
        <is>
          <t>interfaz.md aprobado por el cliente y revisado por el auditor de requisitos.</t>
        </is>
      </c>
      <c r="J93" s="5" t="inlineStr">
        <is>
          <t>No cumple</t>
        </is>
      </c>
      <c r="K93" s="5" t="inlineStr">
        <is>
          <t>—</t>
        </is>
      </c>
      <c r="L93" s="5" t="inlineStr">
        <is>
          <t>—</t>
        </is>
      </c>
      <c r="M93" s="5" t="inlineStr">
        <is>
          <t>Pendiente</t>
        </is>
      </c>
      <c r="N93" s="5" t="inlineStr">
        <is>
          <t>Auditor de requisitos</t>
        </is>
      </c>
      <c r="O93" s="5" t="inlineStr">
        <is>
          <t>Bloqueante de F3.2 y de toda F5. Requiere sesión dedicada.</t>
        </is>
      </c>
      <c r="P93" s="6" t="n"/>
      <c r="Q93" s="5" t="inlineStr"/>
    </row>
    <row r="94" ht="120" customHeight="1">
      <c r="A94" s="4" t="inlineStr">
        <is>
          <t>X-01</t>
        </is>
      </c>
      <c r="B94" s="5" t="inlineStr">
        <is>
          <t>Respaldo y publicación</t>
        </is>
      </c>
      <c r="C94" s="5" t="inlineStr">
        <is>
          <t>El código y la documentación están respaldados en el repositorio remoto (GitHub). Respaldar no es publicar.</t>
        </is>
      </c>
      <c r="D94" s="5" t="inlineStr">
        <is>
          <t>Alta</t>
        </is>
      </c>
      <c r="E94" s="5" t="inlineStr">
        <is>
          <t>Desarrollo · v1.1</t>
        </is>
      </c>
      <c r="F94" s="5" t="inlineStr">
        <is>
          <t>F1</t>
        </is>
      </c>
      <c r="G94" s="5" t="inlineStr">
        <is>
          <t>F1.2 · F1.4</t>
        </is>
      </c>
      <c r="H94" s="5" t="inlineStr">
        <is>
          <t>I</t>
        </is>
      </c>
      <c r="I94" s="5" t="inlineStr">
        <is>
          <t>GitHub muestra la última versión y la etiqueta de cierre de fase.</t>
        </is>
      </c>
      <c r="J94" s="5" t="inlineStr">
        <is>
          <t>Cumple parcialmente</t>
        </is>
      </c>
      <c r="K94" s="5" t="inlineStr">
        <is>
          <t>0.0.1</t>
        </is>
      </c>
      <c r="L94" s="5" t="inlineStr">
        <is>
          <t>Rama local auto/F1-iteracion-0, sin subir</t>
        </is>
      </c>
      <c r="M94" s="5" t="inlineStr">
        <is>
          <t>Pendiente</t>
        </is>
      </c>
      <c r="N94" s="5" t="inlineStr">
        <is>
          <t>Auditor de requisitos</t>
        </is>
      </c>
      <c r="O94" s="5" t="inlineStr">
        <is>
          <t>El repositorio existe con la versión 0.0.1. Reorganizado en local el 14/10 (rama auto/F1-iteracion-0): docs/, tests/, samples/, CLAUDE.md y la app 0.1.3. Falta subirlo, para lo que hay que vincular GitHub a Claude o abrir la conversación desde el ordenador. Parada antes de F2.2 (CP-1): no se construye F2 sobre trabajo sin copia.</t>
        </is>
      </c>
      <c r="P94" s="6" t="n"/>
      <c r="Q94" s="5" t="inlineStr"/>
    </row>
    <row r="95" ht="120" customHeight="1">
      <c r="A95" s="4" t="inlineStr">
        <is>
          <t>X-02</t>
        </is>
      </c>
      <c r="B95" s="5" t="inlineStr">
        <is>
          <t>Respaldo y publicación</t>
        </is>
      </c>
      <c r="C95" s="5" t="inlineStr">
        <is>
          <t>La app está publicada en una URL pública (GitHub Pages).</t>
        </is>
      </c>
      <c r="D95" s="5" t="inlineStr">
        <is>
          <t>Alta</t>
        </is>
      </c>
      <c r="E95" s="5" t="inlineStr">
        <is>
          <t>Desarrollo · v1.1</t>
        </is>
      </c>
      <c r="F95" s="5" t="inlineStr">
        <is>
          <t>F7</t>
        </is>
      </c>
      <c r="G95" s="5" t="inlineStr">
        <is>
          <t>F7.1</t>
        </is>
      </c>
      <c r="H95" s="5" t="inlineStr">
        <is>
          <t>D</t>
        </is>
      </c>
      <c r="I95" s="5" t="inlineStr">
        <is>
          <t>La URL pública carga la app desde un dispositivo ajeno al proyecto.</t>
        </is>
      </c>
      <c r="J95" s="5" t="inlineStr">
        <is>
          <t>No cumple</t>
        </is>
      </c>
      <c r="K95" s="5" t="inlineStr">
        <is>
          <t>—</t>
        </is>
      </c>
      <c r="L95" s="5" t="inlineStr">
        <is>
          <t>—</t>
        </is>
      </c>
      <c r="M95" s="5" t="inlineStr">
        <is>
          <t>Pendiente</t>
        </is>
      </c>
      <c r="N95" s="5" t="inlineStr">
        <is>
          <t>Cliente</t>
        </is>
      </c>
      <c r="O95"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5" s="6" t="n"/>
      <c r="Q95" s="5" t="inlineStr"/>
    </row>
    <row r="96" ht="33" customHeight="1">
      <c r="A96" s="4" t="inlineStr">
        <is>
          <t>X-03</t>
        </is>
      </c>
      <c r="B96" s="5" t="inlineStr">
        <is>
          <t>Respaldo y publicación</t>
        </is>
      </c>
      <c r="C96" s="5" t="inlineStr">
        <is>
          <t>La app está verificada en móviles reales, instalada como icono desde la web publicada.</t>
        </is>
      </c>
      <c r="D96" s="5" t="inlineStr">
        <is>
          <t>Alta</t>
        </is>
      </c>
      <c r="E96" s="5" t="inlineStr">
        <is>
          <t>Desarrollo · v1.1</t>
        </is>
      </c>
      <c r="F96" s="5" t="inlineStr">
        <is>
          <t>F7</t>
        </is>
      </c>
      <c r="G96" s="5" t="inlineStr">
        <is>
          <t>F7.2</t>
        </is>
      </c>
      <c r="H96" s="5" t="inlineStr">
        <is>
          <t>D</t>
        </is>
      </c>
      <c r="I96" s="5" t="inlineStr">
        <is>
          <t>La app instalada desde la web funciona en un Android, un iPhone y un Windows reales.</t>
        </is>
      </c>
      <c r="J96" s="5" t="inlineStr">
        <is>
          <t>No cumple</t>
        </is>
      </c>
      <c r="K96" s="5" t="inlineStr">
        <is>
          <t>—</t>
        </is>
      </c>
      <c r="L96" s="5" t="inlineStr">
        <is>
          <t>—</t>
        </is>
      </c>
      <c r="M96" s="5" t="inlineStr">
        <is>
          <t>Pendiente</t>
        </is>
      </c>
      <c r="N96" s="5" t="inlineStr">
        <is>
          <t>Cliente</t>
        </is>
      </c>
      <c r="O96" s="5" t="inlineStr">
        <is>
          <t>Cierra G-04 y PL-01 a PL-03 en su modo web.</t>
        </is>
      </c>
      <c r="P96" s="6" t="n"/>
      <c r="Q96" s="5" t="inlineStr"/>
    </row>
  </sheetData>
  <autoFilter ref="A4:Q96"/>
  <conditionalFormatting sqref="J5:J96">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6">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6" showDropDown="0" showInputMessage="0" showErrorMessage="0" allowBlank="0" errorTitle="Valor no válido" error="Elige un valor de la lista. Están descritos en la hoja Leyenda." type="list">
      <formula1>"Cumple,Cumple parcialmente,No cumple,No aplica"</formula1>
    </dataValidation>
    <dataValidation sqref="M5:M96" showDropDown="0" showInputMessage="0" showErrorMessage="0" allowBlank="0" errorTitle="Valor no válido" error="Elige un valor de la lista. Están descritos en la hoja Leyenda." type="list">
      <formula1>"Verificado,Verificado parcialmente,Pendiente,No aplica"</formula1>
    </dataValidation>
    <dataValidation sqref="H5:H96"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COUNTIF(Matriz!$F$5:$F$96,"*F1*")</f>
        <v/>
      </c>
      <c r="C5" s="7">
        <f>COUNTIFS(Matriz!$F$5:$F$96,"*F1*",Matriz!$J$5:$J$96,"Cumple")</f>
        <v/>
      </c>
      <c r="D5" s="7">
        <f>COUNTIFS(Matriz!$F$5:$F$96,"*F1*",Matriz!$J$5:$J$96,"Cumple parcialmente")</f>
        <v/>
      </c>
      <c r="E5" s="7">
        <f>COUNTIFS(Matriz!$F$5:$F$96,"*F1*",Matriz!$J$5:$J$96,"No cumple")</f>
        <v/>
      </c>
      <c r="F5" s="7">
        <f>COUNTIFS(Matriz!$F$5:$F$96,"*F1*",Matriz!$J$5:$J$96,"No aplica")</f>
        <v/>
      </c>
      <c r="G5" s="8">
        <f>IFERROR(C5/B5,0)</f>
        <v/>
      </c>
      <c r="H5" s="7">
        <f>COUNTIFS(Matriz!$F$5:$F$96,"*F1*",Matriz!$M$5:$M$96,"Verificado")</f>
        <v/>
      </c>
      <c r="I5" s="7">
        <f>COUNTIFS(Matriz!$F$5:$F$96,"*F1*",Matriz!$M$5:$M$96,"Verificado parcialmente")</f>
        <v/>
      </c>
    </row>
    <row r="6">
      <c r="A6" s="7" t="inlineStr">
        <is>
          <t>F2 · Sonido propio y archivo autónomo</t>
        </is>
      </c>
      <c r="B6" s="7">
        <f>COUNTIF(Matriz!$F$5:$F$96,"*F2*")</f>
        <v/>
      </c>
      <c r="C6" s="7">
        <f>COUNTIFS(Matriz!$F$5:$F$96,"*F2*",Matriz!$J$5:$J$96,"Cumple")</f>
        <v/>
      </c>
      <c r="D6" s="7">
        <f>COUNTIFS(Matriz!$F$5:$F$96,"*F2*",Matriz!$J$5:$J$96,"Cumple parcialmente")</f>
        <v/>
      </c>
      <c r="E6" s="7">
        <f>COUNTIFS(Matriz!$F$5:$F$96,"*F2*",Matriz!$J$5:$J$96,"No cumple")</f>
        <v/>
      </c>
      <c r="F6" s="7">
        <f>COUNTIFS(Matriz!$F$5:$F$96,"*F2*",Matriz!$J$5:$J$96,"No aplica")</f>
        <v/>
      </c>
      <c r="G6" s="8">
        <f>IFERROR(C6/B6,0)</f>
        <v/>
      </c>
      <c r="H6" s="7">
        <f>COUNTIFS(Matriz!$F$5:$F$96,"*F2*",Matriz!$M$5:$M$96,"Verificado")</f>
        <v/>
      </c>
      <c r="I6" s="7">
        <f>COUNTIFS(Matriz!$F$5:$F$96,"*F2*",Matriz!$M$5:$M$96,"Verificado parcialmente")</f>
        <v/>
      </c>
    </row>
    <row r="7">
      <c r="A7" s="7" t="inlineStr">
        <is>
          <t>F3 · Interfaz y adaptación</t>
        </is>
      </c>
      <c r="B7" s="7">
        <f>COUNTIF(Matriz!$F$5:$F$96,"*F3*")</f>
        <v/>
      </c>
      <c r="C7" s="7">
        <f>COUNTIFS(Matriz!$F$5:$F$96,"*F3*",Matriz!$J$5:$J$96,"Cumple")</f>
        <v/>
      </c>
      <c r="D7" s="7">
        <f>COUNTIFS(Matriz!$F$5:$F$96,"*F3*",Matriz!$J$5:$J$96,"Cumple parcialmente")</f>
        <v/>
      </c>
      <c r="E7" s="7">
        <f>COUNTIFS(Matriz!$F$5:$F$96,"*F3*",Matriz!$J$5:$J$96,"No cumple")</f>
        <v/>
      </c>
      <c r="F7" s="7">
        <f>COUNTIFS(Matriz!$F$5:$F$96,"*F3*",Matriz!$J$5:$J$96,"No aplica")</f>
        <v/>
      </c>
      <c r="G7" s="8">
        <f>IFERROR(C7/B7,0)</f>
        <v/>
      </c>
      <c r="H7" s="7">
        <f>COUNTIFS(Matriz!$F$5:$F$96,"*F3*",Matriz!$M$5:$M$96,"Verificado")</f>
        <v/>
      </c>
      <c r="I7" s="7">
        <f>COUNTIFS(Matriz!$F$5:$F$96,"*F3*",Matriz!$M$5:$M$96,"Verificado parcialmente")</f>
        <v/>
      </c>
    </row>
    <row r="8">
      <c r="A8" s="7" t="inlineStr">
        <is>
          <t>F4 · Afinador por micrófono</t>
        </is>
      </c>
      <c r="B8" s="7">
        <f>COUNTIF(Matriz!$F$5:$F$96,"*F4*")</f>
        <v/>
      </c>
      <c r="C8" s="7">
        <f>COUNTIFS(Matriz!$F$5:$F$96,"*F4*",Matriz!$J$5:$J$96,"Cumple")</f>
        <v/>
      </c>
      <c r="D8" s="7">
        <f>COUNTIFS(Matriz!$F$5:$F$96,"*F4*",Matriz!$J$5:$J$96,"Cumple parcialmente")</f>
        <v/>
      </c>
      <c r="E8" s="7">
        <f>COUNTIFS(Matriz!$F$5:$F$96,"*F4*",Matriz!$J$5:$J$96,"No cumple")</f>
        <v/>
      </c>
      <c r="F8" s="7">
        <f>COUNTIFS(Matriz!$F$5:$F$96,"*F4*",Matriz!$J$5:$J$96,"No aplica")</f>
        <v/>
      </c>
      <c r="G8" s="8">
        <f>IFERROR(C8/B8,0)</f>
        <v/>
      </c>
      <c r="H8" s="7">
        <f>COUNTIFS(Matriz!$F$5:$F$96,"*F4*",Matriz!$M$5:$M$96,"Verificado")</f>
        <v/>
      </c>
      <c r="I8" s="7">
        <f>COUNTIFS(Matriz!$F$5:$F$96,"*F4*",Matriz!$M$5:$M$96,"Verificado parcialmente")</f>
        <v/>
      </c>
    </row>
    <row r="9">
      <c r="A9" s="7" t="inlineStr">
        <is>
          <t>F5 · Escalas</t>
        </is>
      </c>
      <c r="B9" s="7">
        <f>COUNTIF(Matriz!$F$5:$F$96,"*F5*")</f>
        <v/>
      </c>
      <c r="C9" s="7">
        <f>COUNTIFS(Matriz!$F$5:$F$96,"*F5*",Matriz!$J$5:$J$96,"Cumple")</f>
        <v/>
      </c>
      <c r="D9" s="7">
        <f>COUNTIFS(Matriz!$F$5:$F$96,"*F5*",Matriz!$J$5:$J$96,"Cumple parcialmente")</f>
        <v/>
      </c>
      <c r="E9" s="7">
        <f>COUNTIFS(Matriz!$F$5:$F$96,"*F5*",Matriz!$J$5:$J$96,"No cumple")</f>
        <v/>
      </c>
      <c r="F9" s="7">
        <f>COUNTIFS(Matriz!$F$5:$F$96,"*F5*",Matriz!$J$5:$J$96,"No aplica")</f>
        <v/>
      </c>
      <c r="G9" s="8">
        <f>IFERROR(C9/B9,0)</f>
        <v/>
      </c>
      <c r="H9" s="7">
        <f>COUNTIFS(Matriz!$F$5:$F$96,"*F5*",Matriz!$M$5:$M$96,"Verificado")</f>
        <v/>
      </c>
      <c r="I9" s="7">
        <f>COUNTIFS(Matriz!$F$5:$F$96,"*F5*",Matriz!$M$5:$M$96,"Verificado parcialmente")</f>
        <v/>
      </c>
    </row>
    <row r="10">
      <c r="A10" s="7" t="inlineStr">
        <is>
          <t>F6 · Preparación para distribución</t>
        </is>
      </c>
      <c r="B10" s="7">
        <f>COUNTIF(Matriz!$F$5:$F$96,"*F6*")</f>
        <v/>
      </c>
      <c r="C10" s="7">
        <f>COUNTIFS(Matriz!$F$5:$F$96,"*F6*",Matriz!$J$5:$J$96,"Cumple")</f>
        <v/>
      </c>
      <c r="D10" s="7">
        <f>COUNTIFS(Matriz!$F$5:$F$96,"*F6*",Matriz!$J$5:$J$96,"Cumple parcialmente")</f>
        <v/>
      </c>
      <c r="E10" s="7">
        <f>COUNTIFS(Matriz!$F$5:$F$96,"*F6*",Matriz!$J$5:$J$96,"No cumple")</f>
        <v/>
      </c>
      <c r="F10" s="7">
        <f>COUNTIFS(Matriz!$F$5:$F$96,"*F6*",Matriz!$J$5:$J$96,"No aplica")</f>
        <v/>
      </c>
      <c r="G10" s="8">
        <f>IFERROR(C10/B10,0)</f>
        <v/>
      </c>
      <c r="H10" s="7">
        <f>COUNTIFS(Matriz!$F$5:$F$96,"*F6*",Matriz!$M$5:$M$96,"Verificado")</f>
        <v/>
      </c>
      <c r="I10" s="7">
        <f>COUNTIFS(Matriz!$F$5:$F$96,"*F6*",Matriz!$M$5:$M$96,"Verificado parcialmente")</f>
        <v/>
      </c>
    </row>
    <row r="11">
      <c r="A11" s="7" t="inlineStr">
        <is>
          <t>F7 · Publicación y lanzamiento</t>
        </is>
      </c>
      <c r="B11" s="7">
        <f>COUNTIF(Matriz!$F$5:$F$96,"*F7*")</f>
        <v/>
      </c>
      <c r="C11" s="7">
        <f>COUNTIFS(Matriz!$F$5:$F$96,"*F7*",Matriz!$J$5:$J$96,"Cumple")</f>
        <v/>
      </c>
      <c r="D11" s="7">
        <f>COUNTIFS(Matriz!$F$5:$F$96,"*F7*",Matriz!$J$5:$J$96,"Cumple parcialmente")</f>
        <v/>
      </c>
      <c r="E11" s="7">
        <f>COUNTIFS(Matriz!$F$5:$F$96,"*F7*",Matriz!$J$5:$J$96,"No cumple")</f>
        <v/>
      </c>
      <c r="F11" s="7">
        <f>COUNTIFS(Matriz!$F$5:$F$96,"*F7*",Matriz!$J$5:$J$96,"No aplica")</f>
        <v/>
      </c>
      <c r="G11" s="8">
        <f>IFERROR(C11/B11,0)</f>
        <v/>
      </c>
      <c r="H11" s="7">
        <f>COUNTIFS(Matriz!$F$5:$F$96,"*F7*",Matriz!$M$5:$M$96,"Verificado")</f>
        <v/>
      </c>
      <c r="I11" s="7">
        <f>COUNTIFS(Matriz!$F$5:$F$96,"*F7*",Matriz!$M$5:$M$96,"Verificado parcialmente")</f>
        <v/>
      </c>
    </row>
    <row r="12">
      <c r="A12" s="7" t="inlineStr">
        <is>
          <t>Posterior · fuera de alcance</t>
        </is>
      </c>
      <c r="B12" s="7">
        <f>COUNTIF(Matriz!$F$5:$F$96,"*Posterior*")</f>
        <v/>
      </c>
      <c r="C12" s="7">
        <f>COUNTIFS(Matriz!$F$5:$F$96,"*Posterior*",Matriz!$J$5:$J$96,"Cumple")</f>
        <v/>
      </c>
      <c r="D12" s="7">
        <f>COUNTIFS(Matriz!$F$5:$F$96,"*Posterior*",Matriz!$J$5:$J$96,"Cumple parcialmente")</f>
        <v/>
      </c>
      <c r="E12" s="7">
        <f>COUNTIFS(Matriz!$F$5:$F$96,"*Posterior*",Matriz!$J$5:$J$96,"No cumple")</f>
        <v/>
      </c>
      <c r="F12" s="7">
        <f>COUNTIFS(Matriz!$F$5:$F$96,"*Posterior*",Matriz!$J$5:$J$96,"No aplica")</f>
        <v/>
      </c>
      <c r="G12" s="8">
        <f>IFERROR(C12/B12,0)</f>
        <v/>
      </c>
      <c r="H12" s="7">
        <f>COUNTIFS(Matriz!$F$5:$F$96,"*Posterior*",Matriz!$M$5:$M$96,"Verificado")</f>
        <v/>
      </c>
      <c r="I12" s="7">
        <f>COUNTIFS(Matriz!$F$5:$F$96,"*Posterior*",Matriz!$M$5:$M$96,"Verificado parcialmente")</f>
        <v/>
      </c>
    </row>
    <row r="13">
      <c r="A13" s="9" t="inlineStr">
        <is>
          <t>Total del producto</t>
        </is>
      </c>
      <c r="B13" s="9">
        <f>COUNTA(Matriz!$A$5:$A$96)</f>
        <v/>
      </c>
      <c r="C13" s="9">
        <f>COUNTIF(Matriz!$J$5:$J$96,"Cumple")</f>
        <v/>
      </c>
      <c r="D13" s="9">
        <f>COUNTIF(Matriz!$J$5:$J$96,"Cumple parcialmente")</f>
        <v/>
      </c>
      <c r="E13" s="9">
        <f>COUNTIF(Matriz!$J$5:$J$96,"No cumple")</f>
        <v/>
      </c>
      <c r="F13" s="9">
        <f>COUNTIF(Matriz!$J$5:$J$96,"No aplica")</f>
        <v/>
      </c>
      <c r="G13" s="10">
        <f>IFERROR(C13/B13,0)</f>
        <v/>
      </c>
      <c r="H13" s="9">
        <f>COUNTIF(Matriz!$M$5:$M$96,"Verificado")</f>
        <v/>
      </c>
      <c r="I13" s="9">
        <f>COUNTIF(Matriz!$M$5:$M$96,"Verificado parcialmente")</f>
        <v/>
      </c>
    </row>
    <row r="15">
      <c r="A15" s="11" t="inlineStr">
        <is>
          <t>Por método de verificación</t>
        </is>
      </c>
    </row>
    <row r="16">
      <c r="A16" s="12" t="inlineStr">
        <is>
          <t>I · Inspección</t>
        </is>
      </c>
      <c r="B16" s="12">
        <f>COUNTIF(Matriz!$H$5:$H$96,"I")</f>
        <v/>
      </c>
    </row>
    <row r="17">
      <c r="A17" s="12" t="inlineStr">
        <is>
          <t>A · Análisis</t>
        </is>
      </c>
      <c r="B17" s="12">
        <f>COUNTIF(Matriz!$H$5:$H$96,"A")</f>
        <v/>
      </c>
    </row>
    <row r="18">
      <c r="A18" s="12" t="inlineStr">
        <is>
          <t>D · Demostración</t>
        </is>
      </c>
      <c r="B18" s="12">
        <f>COUNTIF(Matriz!$H$5:$H$96,"D")</f>
        <v/>
      </c>
    </row>
    <row r="19">
      <c r="A19" s="12" t="inlineStr">
        <is>
          <t>T · Prueba</t>
        </is>
      </c>
      <c r="B19" s="12">
        <f>COUNTIF(Matriz!$H$5:$H$96,"T")</f>
        <v/>
      </c>
    </row>
    <row r="20">
      <c r="A20" s="12" t="inlineStr">
        <is>
          <t>I+T · Inspección y prueba</t>
        </is>
      </c>
      <c r="B20" s="12">
        <f>COUNTIF(Matriz!$H$5:$H$96,"I+T")</f>
        <v/>
      </c>
    </row>
    <row r="21">
      <c r="A21" s="12" t="inlineStr">
        <is>
          <t>N/A · No aplica</t>
        </is>
      </c>
      <c r="B21" s="12">
        <f>COUNTIF(Matriz!$H$5:$H$96,"N/A")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1.4</t>
        </is>
      </c>
      <c r="B2" s="14" t="inlineStr">
        <is>
          <t>19/10/2026</t>
        </is>
      </c>
      <c r="C2" s="14" t="inlineStr">
        <is>
          <t>v1.6</t>
        </is>
      </c>
      <c r="D2" s="14" t="inlineStr">
        <is>
          <t>0.2.1</t>
        </is>
      </c>
      <c r="E2" s="14" t="inlineStr">
        <is>
          <t>G-07 y G-08 verificados parcialmente con el archivo autónomo (V-03 y banco); falta la prueba en cada plataforma (F2.5).</t>
        </is>
      </c>
    </row>
    <row r="3" ht="46" customHeight="1">
      <c r="A3" s="14" t="inlineStr">
        <is>
          <t>1.3</t>
        </is>
      </c>
      <c r="B3" s="14" t="inlineStr">
        <is>
          <t>19/10/2026</t>
        </is>
      </c>
      <c r="C3" s="14" t="inlineStr">
        <is>
          <t>v1.5</t>
        </is>
      </c>
      <c r="D3" s="14" t="inlineStr">
        <is>
          <t>0.2.0</t>
        </is>
      </c>
      <c r="E3" s="14" t="inlineStr">
        <is>
          <t>S-08 verificado: la app usa sus grabaciones medidas (F2.2). Evidencias nuevas en S-01, S-07 y S-08: banco con todas las notas y grabación en el navegador (V-02).</t>
        </is>
      </c>
    </row>
    <row r="4" ht="46" customHeight="1">
      <c r="A4" s="14" t="inlineStr">
        <is>
          <t>1.2</t>
        </is>
      </c>
      <c r="B4" s="14" t="inlineStr">
        <is>
          <t>15/10/2026</t>
        </is>
      </c>
      <c r="C4" s="14" t="inlineStr">
        <is>
          <t>v1.4</t>
        </is>
      </c>
      <c r="D4" s="14" t="inlineStr">
        <is>
          <t>0.1.4</t>
        </is>
      </c>
      <c r="E4" s="14" t="inlineStr">
        <is>
          <t>Nuevo PL-04: adaptabilidad entre sistemas, con docs/compatibilidad.md como evidencia. PL-02 sin Android de pruebas por ahora; X-02 con despliegue de pruebas previo.</t>
        </is>
      </c>
    </row>
    <row r="5" ht="46" customHeight="1">
      <c r="A5" s="14" t="inlineStr">
        <is>
          <t>1.1</t>
        </is>
      </c>
      <c r="B5" s="14" t="inlineStr">
        <is>
          <t>15/10/2026</t>
        </is>
      </c>
      <c r="C5" s="14" t="inlineStr">
        <is>
          <t>v1.3</t>
        </is>
      </c>
      <c r="D5" s="14" t="inlineStr">
        <is>
          <t>0.1.4</t>
        </is>
      </c>
      <c r="E5"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6" ht="46" customHeight="1">
      <c r="A6" s="14" t="inlineStr">
        <is>
          <t>1.0</t>
        </is>
      </c>
      <c r="B6" s="14" t="inlineStr">
        <is>
          <t>14/10/2026</t>
        </is>
      </c>
      <c r="C6" s="14" t="inlineStr">
        <is>
          <t>v1.2</t>
        </is>
      </c>
      <c r="D6" s="14" t="inlineStr">
        <is>
          <t>0.1.2</t>
        </is>
      </c>
      <c r="E6"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2026-10-19T20:28:01Z</dcterms:created>
  <dcterms:modified xmlns:dcterms="http://purl.org/dc/terms/" xmlns:xsi="http://www.w3.org/2001/XMLSchema-instance" xsi:type="dcterms:W3CDTF">2026-10-19T20:28:01Z</dcterms:modified>
</cp:coreProperties>
</file>