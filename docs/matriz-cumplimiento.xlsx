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1.13. Base: requisitos.md v1.15 · app 0.3.3 · roadmap 3.13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v1.15</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Verificado</t>
        </is>
      </c>
      <c r="N5" s="5" t="inlineStr">
        <is>
          <t>Auditor de requisitos</t>
        </is>
      </c>
      <c r="O5" s="5" t="inlineStr">
        <is>
          <t>Naming cerrado: se descarta Trasting. Validado en la Sesión 1 (20/10,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Verificado</t>
        </is>
      </c>
      <c r="N6" s="5" t="inlineStr">
        <is>
          <t>Cliente</t>
        </is>
      </c>
      <c r="O6" s="5" t="inlineStr">
        <is>
          <t>Escalas visible pero deshabilitada hasta F5. Validado en la Sesión 1 (20/10,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t>
        </is>
      </c>
      <c r="N14" s="5" t="inlineStr">
        <is>
          <t>Auditor de requisitos</t>
        </is>
      </c>
      <c r="O14" s="5" t="inlineStr">
        <is>
          <t>Vincula cada versión con su fase del roadmap. Cada fase cerrada se marca además con una etiqueta de Git (F1.4). Validado en la Sesión 1 (20/10, V-08): A02.</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20"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v1.2 · Banco (node --test): sin matchMedia ni history</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t>
        </is>
      </c>
      <c r="P19" s="6" t="n"/>
      <c r="Q19" s="5" t="inlineStr"/>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 **Validado en la Sesión 1** (20/10, `V-08`): A06.</t>
        </is>
      </c>
      <c r="L20" s="5" t="inlineStr">
        <is>
          <t>F1.1 #6</t>
        </is>
      </c>
      <c r="M20" s="5" t="inlineStr">
        <is>
          <t>Verificado</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t>
        </is>
      </c>
      <c r="M22" s="5" t="inlineStr">
        <is>
          <t>Verificado</t>
        </is>
      </c>
      <c r="N22" s="5" t="inlineStr">
        <is>
          <t>Cliente</t>
        </is>
      </c>
      <c r="O22" s="5" t="inlineStr">
        <is>
          <t>Chip en la barra de acceso rápido. Validado en la Sesión 1 (20/10, V-08): A06.</t>
        </is>
      </c>
      <c r="P22" s="6" t="n"/>
      <c r="Q22" s="5" t="inlineStr"/>
    </row>
    <row r="23" ht="33"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t>
        </is>
      </c>
      <c r="M23" s="5" t="inlineStr">
        <is>
          <t>Verificado</t>
        </is>
      </c>
      <c r="N23" s="5" t="inlineStr">
        <is>
          <t>Cliente</t>
        </is>
      </c>
      <c r="O23" s="5" t="inlineStr">
        <is>
          <t>Verificar de nuevo al añadir Escalas (F5). Validado en la Sesión 1 (20/10, V-08): A06.</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63"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t>
        </is>
      </c>
      <c r="M28" s="5" t="inlineStr">
        <is>
          <t>Verificado</t>
        </is>
      </c>
      <c r="N28" s="5" t="inlineStr">
        <is>
          <t>Banco automático + auditor técnico</t>
        </is>
      </c>
      <c r="O28" s="5" t="inlineStr">
        <is>
          <t>Sustituye al interruptor de la 0.1.1; quien lo tuviera apagado pasa automáticamente a «ninguno». Validado en la Sesión 1 (20/10, V-08): A11.</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 **Validado en la Sesión 1** (20/10, `V-08`): E03.</t>
        </is>
      </c>
      <c r="L29" s="5" t="inlineStr">
        <is>
          <t>F1.1 #2</t>
        </is>
      </c>
      <c r="M29" s="5" t="inlineStr">
        <is>
          <t>Verificado</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 **Validado en la Sesión 1** (20/10, `V-08`): E03.</t>
        </is>
      </c>
      <c r="L30" s="5" t="inlineStr">
        <is>
          <t>F1.1 #14</t>
        </is>
      </c>
      <c r="M30" s="5" t="inlineStr">
        <is>
          <t>Verificado</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 · V-05: escucha del cliente en su iPhone (0.2.0, 19/10)</t>
        </is>
      </c>
      <c r="M32" s="5" t="inlineStr">
        <is>
          <t>Verificado parcialmente</t>
        </is>
      </c>
      <c r="N32" s="5" t="inlineStr">
        <is>
          <t>Cliente</t>
        </is>
      </c>
      <c r="O32"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2" s="6" t="n"/>
      <c r="Q32" s="5" t="inlineStr">
        <is>
          <t>Modificado</t>
        </is>
      </c>
    </row>
    <row r="33" ht="108"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 sin hacer sonar ninguna nota al elegir.</t>
        </is>
      </c>
      <c r="J33" s="5" t="inlineStr">
        <is>
          <t>Cumple</t>
        </is>
      </c>
      <c r="K33" s="5" t="inlineStr">
        <is>
          <t>0.1.0</t>
        </is>
      </c>
      <c r="L33" s="5" t="inlineStr">
        <is>
          <t>F1.1 #5 · Banco (node --test): cambiar de guitarra no suena · Sesión 1: A14</t>
        </is>
      </c>
      <c r="M33" s="5" t="inlineStr">
        <is>
          <t>Verificado</t>
        </is>
      </c>
      <c r="N33" s="5" t="inlineStr">
        <is>
          <t>Cliente</t>
        </is>
      </c>
      <c r="O33" s="5" t="inlineStr">
        <is>
          <t>Cambiar de timbre descarga otro set de muestras, con aviso. Desde 0.1.2, dos cambios seguidos ya no muestran el mensaje de la carga descartada. Desde la 0.3.3 (Sesión 1, A14), elegir guitarra ya no hace sonar una nota de muestra. Validado en la Sesión 1 (20/10, V-08): A14.</t>
        </is>
      </c>
      <c r="P33" s="6" t="n"/>
      <c r="Q33" s="5" t="inlineStr">
        <is>
          <t>Modificado</t>
        </is>
      </c>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 **Validado en la Sesión 1** (20/10, `V-08`): A03.</t>
        </is>
      </c>
      <c r="L34" s="5" t="inlineStr">
        <is>
          <t>F1.1 #14</t>
        </is>
      </c>
      <c r="M34" s="5" t="inlineStr">
        <is>
          <t>Verificado</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t>
        </is>
      </c>
      <c r="K38" s="5" t="inlineStr">
        <is>
          <t>0.2.3</t>
        </is>
      </c>
      <c r="L38" s="5" t="inlineStr">
        <is>
          <t>CREDITOS.md y samples/ (F2.1) · Banco (node --test): ninguna dirección externa (0.2.0) · licencia de los 161 sonidos del pack de nylon: CC BY, con filtros de control a 0 (20/10)</t>
        </is>
      </c>
      <c r="M38" s="5" t="inlineStr">
        <is>
          <t>Verificado</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8" s="6" t="n"/>
      <c r="Q38" s="5" t="inlineStr"/>
    </row>
    <row r="39" ht="120" customHeight="1">
      <c r="A39" s="4" t="inlineStr">
        <is>
          <t>S-08</t>
        </is>
      </c>
      <c r="B39" s="5" t="inlineStr">
        <is>
          <t>Sonido</t>
        </is>
      </c>
      <c r="C39" s="5" t="inlineStr">
        <is>
          <t>Cada nota suena a menos de 5 cents de su frecuencia, una vez corregida la desviación medida de su grabación. Cada grabación que usa la app es la nota a la que está asignada y tiene su desviación medida.</t>
        </is>
      </c>
      <c r="D39" s="5" t="inlineStr">
        <is>
          <t>Alta</t>
        </is>
      </c>
      <c r="E39" s="5" t="inlineStr">
        <is>
          <t>Desarrollo · medición F2.1</t>
        </is>
      </c>
      <c r="F39" s="5" t="inlineStr">
        <is>
          <t>F2</t>
        </is>
      </c>
      <c r="G39" s="5" t="inlineStr">
        <is>
          <t>F2.1 · F2.2 · F2.4</t>
        </is>
      </c>
      <c r="H39" s="5" t="inlineStr">
        <is>
          <t>T</t>
        </is>
      </c>
      <c r="I39" s="5" t="inlineStr">
        <is>
          <t>Cada nota posible, en los dos timbres, suena a ±5 cents de su frecuencia una vez aplicada la corrección de su grabación; cada grabación es la nota asignada (a menos de 50 cents) y su desviación coincide con samples/afinacion.json.</t>
        </is>
      </c>
      <c r="J39" s="5" t="inlineStr">
        <is>
          <t>Cumple</t>
        </is>
      </c>
      <c r="K39" s="5" t="inlineStr">
        <is>
          <t>0.1.3</t>
        </is>
      </c>
      <c r="L39" s="5" t="inlineStr">
        <is>
          <t>samples/afinacion.json · Banco (node --test): grabaciones y todas las notas (±0,5 cents) · V-02, V-03 y V-04: notas grabadas en el navegador, a menos de 1 cent</t>
        </is>
      </c>
      <c r="M39" s="5" t="inlineStr">
        <is>
          <t>Verificado</t>
        </is>
      </c>
      <c r="N39" s="5" t="inlineStr">
        <is>
          <t>Banco automático + auditor técnico</t>
        </is>
      </c>
      <c r="O39"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39" s="6" t="n"/>
      <c r="Q39" s="5" t="inlineStr"/>
    </row>
    <row r="40" ht="63" customHeight="1">
      <c r="A40" s="4" t="inlineStr">
        <is>
          <t>S-09</t>
        </is>
      </c>
      <c r="B40" s="5" t="inlineStr">
        <is>
          <t>Sonido</t>
        </is>
      </c>
      <c r="C40" s="5" t="inlineStr">
        <is>
          <t>El timbre se parece más al de una guitarra real: grabaciones de más calidad o más notas grabadas por cuerda.</t>
        </is>
      </c>
      <c r="D40" s="5" t="inlineStr">
        <is>
          <t>Baja</t>
        </is>
      </c>
      <c r="E40" s="5" t="inlineStr">
        <is>
          <t>Cliente · listado 14/09</t>
        </is>
      </c>
      <c r="F40" s="5" t="inlineStr">
        <is>
          <t>Posterior</t>
        </is>
      </c>
      <c r="G40" s="5" t="inlineStr">
        <is>
          <t>Posterior</t>
        </is>
      </c>
      <c r="H40" s="5" t="inlineStr">
        <is>
          <t>N/A</t>
        </is>
      </c>
      <c r="I40" s="5" t="inlineStr">
        <is>
          <t>Fuera del alcance actual.</t>
        </is>
      </c>
      <c r="J40" s="5" t="inlineStr">
        <is>
          <t>No aplica</t>
        </is>
      </c>
      <c r="K40" s="5" t="inlineStr">
        <is>
          <t>—</t>
        </is>
      </c>
      <c r="L40" s="5" t="inlineStr">
        <is>
          <t>—</t>
        </is>
      </c>
      <c r="M40" s="5" t="inlineStr">
        <is>
          <t>No aplica</t>
        </is>
      </c>
      <c r="N40" s="5" t="inlineStr">
        <is>
          <t>—</t>
        </is>
      </c>
      <c r="O40" s="5" t="inlineStr">
        <is>
          <t>Tu comentario de la Sesión 1 (E03 y E04): suena «diferente» a tu guitarra. Exige buscar otro banco de grabaciones con licencia libre (S-07), medirlo (S-08) y que lo escuches.</t>
        </is>
      </c>
      <c r="P40" s="6" t="n"/>
      <c r="Q40" s="5" t="inlineStr">
        <is>
          <t>Nuevo</t>
        </is>
      </c>
    </row>
    <row r="41" ht="93" customHeight="1">
      <c r="A41" s="4" t="inlineStr">
        <is>
          <t>P-01</t>
        </is>
      </c>
      <c r="B41" s="5" t="inlineStr">
        <is>
          <t>Pentagrama</t>
        </is>
      </c>
      <c r="C41" s="5" t="inlineStr">
        <is>
          <t>Al pulsar una nota en el mástil, se representa en el pentagrama.</t>
        </is>
      </c>
      <c r="D41" s="5" t="inlineStr">
        <is>
          <t>Alta</t>
        </is>
      </c>
      <c r="E41" s="5" t="inlineStr">
        <is>
          <t>Cliente · listado 14/09</t>
        </is>
      </c>
      <c r="F41" s="5" t="inlineStr">
        <is>
          <t>F1</t>
        </is>
      </c>
      <c r="G41" s="5" t="inlineStr">
        <is>
          <t>F1.1</t>
        </is>
      </c>
      <c r="H41" s="5" t="inlineStr">
        <is>
          <t>A</t>
        </is>
      </c>
      <c r="I41" s="5" t="inlineStr">
        <is>
          <t>Toda posición del mástil, en cualquier afinación permitida, se dibuja dentro del pentagrama.</t>
        </is>
      </c>
      <c r="J41" s="5" t="inlineStr">
        <is>
          <t>Cumple</t>
        </is>
      </c>
      <c r="K41" s="5" t="inlineStr">
        <is>
          <t>0.1.0</t>
        </is>
      </c>
      <c r="L41" s="5" t="inlineStr">
        <is>
          <t>Análisis 15/09: ninguna nota fuera en todo el rango · F1.1 #3 y #4</t>
        </is>
      </c>
      <c r="M41" s="5" t="inlineStr">
        <is>
          <t>Verificado</t>
        </is>
      </c>
      <c r="N41" s="5" t="inlineStr">
        <is>
          <t>Auditor técnico</t>
        </is>
      </c>
      <c r="O41" s="5" t="inlineStr">
        <is>
          <t>Clave de sol octavada. Desde 0.1.1 las notas muy agudas o graves se dibujan transportadas con 8va, 15ma u 8vb, y la clave es un trazado propio que no depende de las fuentes del sistema. Validado en la Sesión 1 (20/10, V-08): A05.</t>
        </is>
      </c>
      <c r="P41" s="6" t="n"/>
      <c r="Q41" s="5" t="inlineStr"/>
    </row>
    <row r="42" ht="33" customHeight="1">
      <c r="A42" s="4" t="inlineStr">
        <is>
          <t>P-02</t>
        </is>
      </c>
      <c r="B42" s="5" t="inlineStr">
        <is>
          <t>Pentagrama</t>
        </is>
      </c>
      <c r="C42" s="5" t="inlineStr">
        <is>
          <t>El pentagrama se puede mostrar u ocultar.</t>
        </is>
      </c>
      <c r="D42" s="5" t="inlineStr">
        <is>
          <t>Alta</t>
        </is>
      </c>
      <c r="E42" s="5" t="inlineStr">
        <is>
          <t>Cliente · listado 14/09</t>
        </is>
      </c>
      <c r="F42" s="5" t="inlineStr">
        <is>
          <t>F1</t>
        </is>
      </c>
      <c r="G42" s="5" t="inlineStr">
        <is>
          <t>F1.1</t>
        </is>
      </c>
      <c r="H42" s="5" t="inlineStr">
        <is>
          <t>D</t>
        </is>
      </c>
      <c r="I42" s="5" t="inlineStr">
        <is>
          <t>El pentagrama se oculta y se muestra desde el chip y desde Ajustes.</t>
        </is>
      </c>
      <c r="J42" s="5" t="inlineStr">
        <is>
          <t>Cumple</t>
        </is>
      </c>
      <c r="K42" s="5" t="inlineStr">
        <is>
          <t>0.1.0</t>
        </is>
      </c>
      <c r="L42" s="5" t="inlineStr">
        <is>
          <t>F1.1 #14</t>
        </is>
      </c>
      <c r="M42" s="5" t="inlineStr">
        <is>
          <t>Pendiente</t>
        </is>
      </c>
      <c r="N42" s="5" t="inlineStr">
        <is>
          <t>Cliente</t>
        </is>
      </c>
      <c r="O42" s="5" t="inlineStr">
        <is>
          <t>En configuración y en acceso rápido.</t>
        </is>
      </c>
      <c r="P42" s="6" t="n"/>
      <c r="Q42" s="5" t="inlineStr"/>
    </row>
    <row r="43" ht="33" customHeight="1">
      <c r="A43" s="4" t="inlineStr">
        <is>
          <t>P-03</t>
        </is>
      </c>
      <c r="B43" s="5" t="inlineStr">
        <is>
          <t>Pentagrama</t>
        </is>
      </c>
      <c r="C43" s="5" t="inlineStr">
        <is>
          <t>El pentagrama está disponible en todos los modos de aprendizaje.</t>
        </is>
      </c>
      <c r="D43" s="5" t="inlineStr">
        <is>
          <t>Media</t>
        </is>
      </c>
      <c r="E43" s="5" t="inlineStr">
        <is>
          <t>Cliente · listado 14/09</t>
        </is>
      </c>
      <c r="F43" s="5" t="inlineStr">
        <is>
          <t>F5</t>
        </is>
      </c>
      <c r="G43" s="5" t="inlineStr">
        <is>
          <t>F5.3</t>
        </is>
      </c>
      <c r="H43" s="5" t="inlineStr">
        <is>
          <t>D</t>
        </is>
      </c>
      <c r="I43" s="5" t="inlineStr">
        <is>
          <t>El pentagrama funciona en Libre, Adivinar y Escalas.</t>
        </is>
      </c>
      <c r="J43" s="5" t="inlineStr">
        <is>
          <t>Cumple parcialmente</t>
        </is>
      </c>
      <c r="K43" s="5" t="inlineStr">
        <is>
          <t>0.1.0</t>
        </is>
      </c>
      <c r="L43" s="5" t="inlineStr">
        <is>
          <t>—</t>
        </is>
      </c>
      <c r="M43" s="5" t="inlineStr">
        <is>
          <t>Pendiente</t>
        </is>
      </c>
      <c r="N43" s="5" t="inlineStr">
        <is>
          <t>Cliente</t>
        </is>
      </c>
      <c r="O43" s="5" t="inlineStr">
        <is>
          <t>Libre y Adivinar sí. Escalas, en F5.</t>
        </is>
      </c>
      <c r="P43" s="6" t="n"/>
      <c r="Q43" s="5" t="inlineStr"/>
    </row>
    <row r="44" ht="33" customHeight="1">
      <c r="A44" s="4" t="inlineStr">
        <is>
          <t>P-04</t>
        </is>
      </c>
      <c r="B44" s="5" t="inlineStr">
        <is>
          <t>Pentagrama</t>
        </is>
      </c>
      <c r="C44" s="5" t="inlineStr">
        <is>
          <t>En el afinador, la afinación seleccionada se muestra como seis notas en un pentagrama.</t>
        </is>
      </c>
      <c r="D44" s="5" t="inlineStr">
        <is>
          <t>Media</t>
        </is>
      </c>
      <c r="E44" s="5" t="inlineStr">
        <is>
          <t>Cliente · listado 14/09</t>
        </is>
      </c>
      <c r="F44" s="5" t="inlineStr">
        <is>
          <t>F1</t>
        </is>
      </c>
      <c r="G44" s="5" t="inlineStr">
        <is>
          <t>F1.1</t>
        </is>
      </c>
      <c r="H44" s="5" t="inlineStr">
        <is>
          <t>D</t>
        </is>
      </c>
      <c r="I44" s="5" t="inlineStr">
        <is>
          <t>El afinador muestra en un pentagrama las seis notas de la afinación activa.</t>
        </is>
      </c>
      <c r="J44" s="5" t="inlineStr">
        <is>
          <t>Cumple</t>
        </is>
      </c>
      <c r="K44" s="5" t="inlineStr">
        <is>
          <t>0.1.0 **Validado en la Sesión 1** (20/10, `V-08`): A13.</t>
        </is>
      </c>
      <c r="L44" s="5" t="inlineStr">
        <is>
          <t>F1.1 #14</t>
        </is>
      </c>
      <c r="M44" s="5" t="inlineStr">
        <is>
          <t>Verificado</t>
        </is>
      </c>
      <c r="N44" s="5" t="inlineStr">
        <is>
          <t>Cliente</t>
        </is>
      </c>
      <c r="O44" s="5" t="inlineStr"/>
      <c r="P44" s="6" t="n"/>
      <c r="Q44" s="5" t="inlineStr"/>
    </row>
    <row r="45" ht="33" customHeight="1">
      <c r="A45" s="4" t="inlineStr">
        <is>
          <t>L-01</t>
        </is>
      </c>
      <c r="B45" s="5" t="inlineStr">
        <is>
          <t>Modo Libre</t>
        </is>
      </c>
      <c r="C45" s="5" t="inlineStr">
        <is>
          <t>El modo por defecto al abrir la app es el diapasón libre.</t>
        </is>
      </c>
      <c r="D45" s="5" t="inlineStr">
        <is>
          <t>Alta</t>
        </is>
      </c>
      <c r="E45" s="5" t="inlineStr">
        <is>
          <t>Cliente · listado 14/09</t>
        </is>
      </c>
      <c r="F45" s="5" t="inlineStr">
        <is>
          <t>F1</t>
        </is>
      </c>
      <c r="G45" s="5" t="inlineStr">
        <is>
          <t>F1.1</t>
        </is>
      </c>
      <c r="H45" s="5" t="inlineStr">
        <is>
          <t>D</t>
        </is>
      </c>
      <c r="I45" s="5" t="inlineStr">
        <is>
          <t>Al abrir la app se muestra el modo Libre.</t>
        </is>
      </c>
      <c r="J45" s="5" t="inlineStr">
        <is>
          <t>Cumple</t>
        </is>
      </c>
      <c r="K45" s="5" t="inlineStr">
        <is>
          <t>0.1.0 **Validado en la Sesión 1** (20/10, `V-08`): A01.</t>
        </is>
      </c>
      <c r="L45" s="5" t="inlineStr">
        <is>
          <t>F1.1 #14</t>
        </is>
      </c>
      <c r="M45" s="5" t="inlineStr">
        <is>
          <t>Verificado</t>
        </is>
      </c>
      <c r="N45" s="5" t="inlineStr">
        <is>
          <t>Cliente</t>
        </is>
      </c>
      <c r="O45" s="5" t="inlineStr"/>
      <c r="P45" s="6" t="n"/>
      <c r="Q45" s="5" t="inlineStr"/>
    </row>
    <row r="46" ht="63" customHeight="1">
      <c r="A46" s="4" t="inlineStr">
        <is>
          <t>L-02</t>
        </is>
      </c>
      <c r="B46" s="5" t="inlineStr">
        <is>
          <t>Modo Libre</t>
        </is>
      </c>
      <c r="C46" s="5" t="inlineStr">
        <is>
          <t>El usuario decide si ve el nombre de todas las notas del mástil o solo el de la que pulsa.</t>
        </is>
      </c>
      <c r="D46" s="5" t="inlineStr">
        <is>
          <t>Alta</t>
        </is>
      </c>
      <c r="E46" s="5" t="inlineStr">
        <is>
          <t>Cliente · listado 14/09</t>
        </is>
      </c>
      <c r="F46" s="5" t="inlineStr">
        <is>
          <t>F1</t>
        </is>
      </c>
      <c r="G46" s="5" t="inlineStr">
        <is>
          <t>F1.1</t>
        </is>
      </c>
      <c r="H46" s="5" t="inlineStr">
        <is>
          <t>D</t>
        </is>
      </c>
      <c r="I46" s="5" t="inlineStr">
        <is>
          <t>Con «Ver todas las notas» se ven todos los nombres; sin él, solo el de la nota pulsada.</t>
        </is>
      </c>
      <c r="J46" s="5" t="inlineStr">
        <is>
          <t>Cumple</t>
        </is>
      </c>
      <c r="K46" s="5" t="inlineStr">
        <is>
          <t>0.1.0</t>
        </is>
      </c>
      <c r="L46" s="5" t="inlineStr">
        <is>
          <t>Banco (node --test) · F1.1 #10</t>
        </is>
      </c>
      <c r="M46" s="5" t="inlineStr">
        <is>
          <t>Verificado</t>
        </is>
      </c>
      <c r="N46" s="5" t="inlineStr">
        <is>
          <t>Cliente</t>
        </is>
      </c>
      <c r="O46" s="5" t="inlineStr">
        <is>
          <t>Por defecto solo la pulsada, para no convertir el mástil en una chuleta permanente. En Adivinar no se aplica (J-12). Validado en la Sesión 1 (20/10, V-08): A10.</t>
        </is>
      </c>
      <c r="P46" s="6" t="n"/>
      <c r="Q46" s="5" t="inlineStr"/>
    </row>
    <row r="47" ht="93" customHeight="1">
      <c r="A47" s="4" t="inlineStr">
        <is>
          <t>L-03</t>
        </is>
      </c>
      <c r="B47" s="5" t="inlineStr">
        <is>
          <t>Modo Libre</t>
        </is>
      </c>
      <c r="C47" s="5" t="inlineStr">
        <is>
          <t>Al pulsar una nota se señalan discretamente las demás posiciones que producen exactamente la misma nota (mismo sonido, no misma clase de nota).</t>
        </is>
      </c>
      <c r="D47" s="5" t="inlineStr">
        <is>
          <t>Media</t>
        </is>
      </c>
      <c r="E47" s="5" t="inlineStr">
        <is>
          <t>Cliente · listado 14/09</t>
        </is>
      </c>
      <c r="F47" s="5" t="inlineStr">
        <is>
          <t>F1</t>
        </is>
      </c>
      <c r="G47" s="5" t="inlineStr">
        <is>
          <t>F1.1</t>
        </is>
      </c>
      <c r="H47" s="5" t="inlineStr">
        <is>
          <t>D</t>
        </is>
      </c>
      <c r="I47" s="5" t="inlineStr">
        <is>
          <t>Al pulsar una nota se señalan las demás posiciones con el mismo sonido exacto y ninguna de otra octava.</t>
        </is>
      </c>
      <c r="J47" s="5" t="inlineStr">
        <is>
          <t>Cumple</t>
        </is>
      </c>
      <c r="K47" s="5" t="inlineStr">
        <is>
          <t>0.1.0</t>
        </is>
      </c>
      <c r="L47" s="5" t="inlineStr">
        <is>
          <t>F1.1 #14</t>
        </is>
      </c>
      <c r="M47" s="5" t="inlineStr">
        <is>
          <t>Verificado</t>
        </is>
      </c>
      <c r="N47" s="5" t="inlineStr">
        <is>
          <t>Cliente</t>
        </is>
      </c>
      <c r="O47" s="5" t="inlineStr">
        <is>
          <t>Desde la 0.3.1 se señalan con contorno, sin relleno, y con «Ver todas las notas» llevan además un anillo claro por fuera (AR-06). Señal deliberadamente más tenue que la nota pulsada. Validado en la Sesión 1 (20/10, V-08): E03.</t>
        </is>
      </c>
      <c r="P47" s="6" t="n"/>
      <c r="Q47" s="5" t="inlineStr"/>
    </row>
    <row r="48" ht="120" customHeight="1">
      <c r="A48" s="4" t="inlineStr">
        <is>
          <t>J-01</t>
        </is>
      </c>
      <c r="B48" s="5" t="inlineStr">
        <is>
          <t>Modo Adivinar</t>
        </is>
      </c>
      <c r="C48" s="5" t="inlineStr">
        <is>
          <t>Suena una nota aleatoria y el usuario busca su posición en el mástil.</t>
        </is>
      </c>
      <c r="D48" s="5" t="inlineStr">
        <is>
          <t>Alta</t>
        </is>
      </c>
      <c r="E48" s="5" t="inlineStr">
        <is>
          <t>Cliente · listado 14/09</t>
        </is>
      </c>
      <c r="F48" s="5" t="inlineStr">
        <is>
          <t>F1</t>
        </is>
      </c>
      <c r="G48" s="5" t="inlineStr">
        <is>
          <t>F1.1</t>
        </is>
      </c>
      <c r="H48" s="5" t="inlineStr">
        <is>
          <t>D</t>
        </is>
      </c>
      <c r="I48" s="5" t="inlineStr">
        <is>
          <t>En Adivinar nada suena hasta pulsar ▶ (resaltado); antes de ▶ el mástil suena pero no puntúa; después cada reto suena solo y ▶ lo repite. La lectura grande muestra la nota buscada, no la pulsada.</t>
        </is>
      </c>
      <c r="J48" s="5" t="inlineStr">
        <is>
          <t>Cumple</t>
        </is>
      </c>
      <c r="K48" s="5" t="inlineStr">
        <is>
          <t>0.1.0</t>
        </is>
      </c>
      <c r="L48" s="5" t="inlineStr">
        <is>
          <t>F1.1 #14 · Banco (node --test): ▶ y lectura de la nota buscada · Sesión 1: C07 y E04</t>
        </is>
      </c>
      <c r="M48" s="5" t="inlineStr">
        <is>
          <t>Verificado</t>
        </is>
      </c>
      <c r="N48" s="5" t="inlineStr">
        <is>
          <t>Cliente</t>
        </is>
      </c>
      <c r="O48"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La lectura grande y el pentagrama muestran la nota buscada («?» hasta acertar o fallar), no la pulsada. Validado en la Sesión 1 (20/10, V-08): C07 y E04.</t>
        </is>
      </c>
      <c r="P48" s="6" t="n"/>
      <c r="Q48" s="5" t="inlineStr">
        <is>
          <t>Modificado</t>
        </is>
      </c>
    </row>
    <row r="49" ht="33" customHeight="1">
      <c r="A49" s="4" t="inlineStr">
        <is>
          <t>J-02</t>
        </is>
      </c>
      <c r="B49" s="5" t="inlineStr">
        <is>
          <t>Modo Adivinar</t>
        </is>
      </c>
      <c r="C49" s="5" t="inlineStr">
        <is>
          <t>Se acepta como acierto cualquier posición que produzca esa nota exacta.</t>
        </is>
      </c>
      <c r="D49" s="5" t="inlineStr">
        <is>
          <t>Alta</t>
        </is>
      </c>
      <c r="E49" s="5" t="inlineStr">
        <is>
          <t>Cliente · listado 14/09</t>
        </is>
      </c>
      <c r="F49" s="5" t="inlineStr">
        <is>
          <t>F1</t>
        </is>
      </c>
      <c r="G49" s="5" t="inlineStr">
        <is>
          <t>F1.1</t>
        </is>
      </c>
      <c r="H49" s="5" t="inlineStr">
        <is>
          <t>T</t>
        </is>
      </c>
      <c r="I49" s="5" t="inlineStr">
        <is>
          <t>Cualquier posición con el mismo sonido cuenta como acierto.</t>
        </is>
      </c>
      <c r="J49" s="5" t="inlineStr">
        <is>
          <t>Cumple</t>
        </is>
      </c>
      <c r="K49" s="5" t="inlineStr">
        <is>
          <t>0.1.0 **Validado en la Sesión 1** (20/10, `V-08`): E04.</t>
        </is>
      </c>
      <c r="L49" s="5" t="inlineStr">
        <is>
          <t>Banco (node --test): acierto</t>
        </is>
      </c>
      <c r="M49" s="5" t="inlineStr">
        <is>
          <t>Verificado</t>
        </is>
      </c>
      <c r="N49" s="5" t="inlineStr">
        <is>
          <t>Banco automático + auditor técnico</t>
        </is>
      </c>
      <c r="O49" s="5" t="inlineStr"/>
      <c r="P49" s="6" t="n"/>
      <c r="Q49" s="5" t="inlineStr"/>
    </row>
    <row r="50" ht="33" customHeight="1">
      <c r="A50" s="4" t="inlineStr">
        <is>
          <t>J-03</t>
        </is>
      </c>
      <c r="B50" s="5" t="inlineStr">
        <is>
          <t>Modo Adivinar</t>
        </is>
      </c>
      <c r="C50" s="5" t="inlineStr">
        <is>
          <t>Tras acertar se señalan las demás posiciones válidas.</t>
        </is>
      </c>
      <c r="D50" s="5" t="inlineStr">
        <is>
          <t>Media</t>
        </is>
      </c>
      <c r="E50" s="5" t="inlineStr">
        <is>
          <t>Cliente · listado 14/09</t>
        </is>
      </c>
      <c r="F50" s="5" t="inlineStr">
        <is>
          <t>F1</t>
        </is>
      </c>
      <c r="G50" s="5" t="inlineStr">
        <is>
          <t>F1.1</t>
        </is>
      </c>
      <c r="H50" s="5" t="inlineStr">
        <is>
          <t>D</t>
        </is>
      </c>
      <c r="I50" s="5" t="inlineStr">
        <is>
          <t>Tras acertar se señalan las demás posiciones válidas.</t>
        </is>
      </c>
      <c r="J50" s="5" t="inlineStr">
        <is>
          <t>Cumple</t>
        </is>
      </c>
      <c r="K50" s="5" t="inlineStr">
        <is>
          <t>0.1.0</t>
        </is>
      </c>
      <c r="L50" s="5" t="inlineStr">
        <is>
          <t>F1.1 #14</t>
        </is>
      </c>
      <c r="M50" s="5" t="inlineStr">
        <is>
          <t>Verificado</t>
        </is>
      </c>
      <c r="N50" s="5" t="inlineStr">
        <is>
          <t>Cliente</t>
        </is>
      </c>
      <c r="O50" s="5" t="inlineStr">
        <is>
          <t>Reutiliza la lógica de L-03. Validado en la Sesión 1 (20/10, V-08): E04.</t>
        </is>
      </c>
      <c r="P50" s="6" t="n"/>
      <c r="Q50" s="5" t="inlineStr"/>
    </row>
    <row r="51" ht="33" customHeight="1">
      <c r="A51" s="4" t="inlineStr">
        <is>
          <t>J-04</t>
        </is>
      </c>
      <c r="B51" s="5" t="inlineStr">
        <is>
          <t>Modo Adivinar</t>
        </is>
      </c>
      <c r="C51" s="5" t="inlineStr">
        <is>
          <t>Pista opcional: nombre de la nota que suena.</t>
        </is>
      </c>
      <c r="D51" s="5" t="inlineStr">
        <is>
          <t>Alta</t>
        </is>
      </c>
      <c r="E51" s="5" t="inlineStr">
        <is>
          <t>Cliente · listado 14/09</t>
        </is>
      </c>
      <c r="F51" s="5" t="inlineStr">
        <is>
          <t>F1</t>
        </is>
      </c>
      <c r="G51" s="5" t="inlineStr">
        <is>
          <t>F1.1</t>
        </is>
      </c>
      <c r="H51" s="5" t="inlineStr">
        <is>
          <t>D</t>
        </is>
      </c>
      <c r="I51" s="5" t="inlineStr">
        <is>
          <t>La pista «Nombre» muestra el nombre y la octava de la nota que suena.</t>
        </is>
      </c>
      <c r="J51" s="5" t="inlineStr">
        <is>
          <t>Cumple</t>
        </is>
      </c>
      <c r="K51" s="5" t="inlineStr">
        <is>
          <t>0.1.0 **Validado en la Sesión 1** (20/10, `V-08`): E04.</t>
        </is>
      </c>
      <c r="L51" s="5" t="inlineStr">
        <is>
          <t>F1.1 #14</t>
        </is>
      </c>
      <c r="M51" s="5" t="inlineStr">
        <is>
          <t>Verificado</t>
        </is>
      </c>
      <c r="N51" s="5" t="inlineStr">
        <is>
          <t>Cliente</t>
        </is>
      </c>
      <c r="O51" s="5" t="inlineStr"/>
      <c r="P51" s="6" t="n"/>
      <c r="Q51" s="5" t="inlineStr"/>
    </row>
    <row r="52" ht="33" customHeight="1">
      <c r="A52" s="4" t="inlineStr">
        <is>
          <t>J-05</t>
        </is>
      </c>
      <c r="B52" s="5" t="inlineStr">
        <is>
          <t>Modo Adivinar</t>
        </is>
      </c>
      <c r="C52" s="5" t="inlineStr">
        <is>
          <t>Pista opcional: cuerda o cuerdas donde puede encontrarse.</t>
        </is>
      </c>
      <c r="D52" s="5" t="inlineStr">
        <is>
          <t>Alta</t>
        </is>
      </c>
      <c r="E52" s="5" t="inlineStr">
        <is>
          <t>Cliente · listado 14/09</t>
        </is>
      </c>
      <c r="F52" s="5" t="inlineStr">
        <is>
          <t>F1</t>
        </is>
      </c>
      <c r="G52" s="5" t="inlineStr">
        <is>
          <t>F1.1</t>
        </is>
      </c>
      <c r="H52" s="5" t="inlineStr">
        <is>
          <t>D</t>
        </is>
      </c>
      <c r="I52" s="5" t="inlineStr">
        <is>
          <t>La pista «Cuerda» lista las cuerdas donde puede estar la nota.</t>
        </is>
      </c>
      <c r="J52" s="5" t="inlineStr">
        <is>
          <t>Cumple</t>
        </is>
      </c>
      <c r="K52" s="5" t="inlineStr">
        <is>
          <t>0.1.0 **Validado en la Sesión 1** (20/10, `V-08`): E04.</t>
        </is>
      </c>
      <c r="L52" s="5" t="inlineStr">
        <is>
          <t>F1.1 #14</t>
        </is>
      </c>
      <c r="M52" s="5" t="inlineStr">
        <is>
          <t>Verificado</t>
        </is>
      </c>
      <c r="N52" s="5" t="inlineStr">
        <is>
          <t>Cliente</t>
        </is>
      </c>
      <c r="O52" s="5" t="inlineStr"/>
      <c r="P52" s="6" t="n"/>
      <c r="Q52" s="5" t="inlineStr"/>
    </row>
    <row r="53" ht="63" customHeight="1">
      <c r="A53" s="4" t="inlineStr">
        <is>
          <t>J-06</t>
        </is>
      </c>
      <c r="B53" s="5" t="inlineStr">
        <is>
          <t>Modo Adivinar</t>
        </is>
      </c>
      <c r="C53" s="5" t="inlineStr">
        <is>
          <t>Las pistas se activan desde la propia interfaz, sin abrir el menú.</t>
        </is>
      </c>
      <c r="D53" s="5" t="inlineStr">
        <is>
          <t>Alta</t>
        </is>
      </c>
      <c r="E53" s="5" t="inlineStr">
        <is>
          <t>Cliente · listado 14/09</t>
        </is>
      </c>
      <c r="F53" s="5" t="inlineStr">
        <is>
          <t>F1</t>
        </is>
      </c>
      <c r="G53" s="5" t="inlineStr">
        <is>
          <t>F1.1</t>
        </is>
      </c>
      <c r="H53" s="5" t="inlineStr">
        <is>
          <t>D</t>
        </is>
      </c>
      <c r="I53" s="5" t="inlineStr">
        <is>
          <t>Las dos pistas se activan con chips visibles en Adivinar, sin abrir Ajustes.</t>
        </is>
      </c>
      <c r="J53" s="5" t="inlineStr">
        <is>
          <t>Cumple</t>
        </is>
      </c>
      <c r="K53" s="5" t="inlineStr">
        <is>
          <t>0.1.0</t>
        </is>
      </c>
      <c r="L53" s="5" t="inlineStr">
        <is>
          <t>F1.1 #14</t>
        </is>
      </c>
      <c r="M53" s="5" t="inlineStr">
        <is>
          <t>Verificado</t>
        </is>
      </c>
      <c r="N53" s="5" t="inlineStr">
        <is>
          <t>Cliente</t>
        </is>
      </c>
      <c r="O53" s="5" t="inlineStr">
        <is>
          <t>Con las dos pistas activas equivale a «busca esta nota en esta cuerda»; sin ninguna, a «adivina de oído». Validado en la Sesión 1 (20/10, V-08): E04.</t>
        </is>
      </c>
      <c r="P53" s="6" t="n"/>
      <c r="Q53" s="5" t="inlineStr"/>
    </row>
    <row r="54" ht="33" customHeight="1">
      <c r="A54" s="4" t="inlineStr">
        <is>
          <t>J-07</t>
        </is>
      </c>
      <c r="B54" s="5" t="inlineStr">
        <is>
          <t>Modo Adivinar</t>
        </is>
      </c>
      <c r="C54" s="5" t="inlineStr">
        <is>
          <t>Contador de racha visible durante el juego.</t>
        </is>
      </c>
      <c r="D54" s="5" t="inlineStr">
        <is>
          <t>Alta</t>
        </is>
      </c>
      <c r="E54" s="5" t="inlineStr">
        <is>
          <t>Cliente · listado 14/09</t>
        </is>
      </c>
      <c r="F54" s="5" t="inlineStr">
        <is>
          <t>F1</t>
        </is>
      </c>
      <c r="G54" s="5" t="inlineStr">
        <is>
          <t>F1.1</t>
        </is>
      </c>
      <c r="H54" s="5" t="inlineStr">
        <is>
          <t>T</t>
        </is>
      </c>
      <c r="I54" s="5" t="inlineStr">
        <is>
          <t>La racha sube con cada acierto y vuelve a 0 con cada fallo.</t>
        </is>
      </c>
      <c r="J54" s="5" t="inlineStr">
        <is>
          <t>Cumple</t>
        </is>
      </c>
      <c r="K54" s="5" t="inlineStr">
        <is>
          <t>0.1.0 **Validado en la Sesión 1** (20/10, `V-08`): E04.</t>
        </is>
      </c>
      <c r="L54" s="5" t="inlineStr">
        <is>
          <t>Banco (node --test): acierto y fallo</t>
        </is>
      </c>
      <c r="M54" s="5" t="inlineStr">
        <is>
          <t>Verificado</t>
        </is>
      </c>
      <c r="N54" s="5" t="inlineStr">
        <is>
          <t>Banco automático + auditor técnico</t>
        </is>
      </c>
      <c r="O54" s="5" t="inlineStr"/>
      <c r="P54" s="6" t="n"/>
      <c r="Q54" s="5" t="inlineStr"/>
    </row>
    <row r="55" ht="120" customHeight="1">
      <c r="A55" s="4" t="inlineStr">
        <is>
          <t>J-08</t>
        </is>
      </c>
      <c r="B55" s="5" t="inlineStr">
        <is>
          <t>Modo Adivinar</t>
        </is>
      </c>
      <c r="C55" s="5" t="inlineStr">
        <is>
          <t>El récord de racha más larga persiste entre sesiones.</t>
        </is>
      </c>
      <c r="D55" s="5" t="inlineStr">
        <is>
          <t>Alta</t>
        </is>
      </c>
      <c r="E55" s="5" t="inlineStr">
        <is>
          <t>Cliente · listado 14/09</t>
        </is>
      </c>
      <c r="F55" s="5" t="inlineStr">
        <is>
          <t>F1</t>
        </is>
      </c>
      <c r="G55" s="5" t="inlineStr">
        <is>
          <t>F1.1</t>
        </is>
      </c>
      <c r="H55" s="5" t="inlineStr">
        <is>
          <t>T</t>
        </is>
      </c>
      <c r="I55" s="5" t="inlineStr">
        <is>
          <t>El récord persiste tras recargar y tras «Restablecer todos los ajustes»; solo «Borrar el récord» lo pone a cero.</t>
        </is>
      </c>
      <c r="J55" s="5" t="inlineStr">
        <is>
          <t>Cumple</t>
        </is>
      </c>
      <c r="K55" s="5" t="inlineStr">
        <is>
          <t>0.1.0</t>
        </is>
      </c>
      <c r="L55" s="5" t="inlineStr">
        <is>
          <t>Banco (node --test): récord guardado y restablecer · F1.1 #13 · Sesión 1: A15</t>
        </is>
      </c>
      <c r="M55" s="5" t="inlineStr">
        <is>
          <t>Verificado</t>
        </is>
      </c>
      <c r="N55" s="5" t="inlineStr">
        <is>
          <t>Banco automático + auditor técnico</t>
        </is>
      </c>
      <c r="O55"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Validado en la Sesión 1 (20/10, V-08): A15.</t>
        </is>
      </c>
      <c r="P55" s="6" t="n"/>
      <c r="Q55" s="5" t="inlineStr">
        <is>
          <t>Modificado</t>
        </is>
      </c>
    </row>
    <row r="56" ht="48" customHeight="1">
      <c r="A56" s="4" t="inlineStr">
        <is>
          <t>J-09</t>
        </is>
      </c>
      <c r="B56" s="5" t="inlineStr">
        <is>
          <t>Modo Adivinar</t>
        </is>
      </c>
      <c r="C56" s="5" t="inlineStr">
        <is>
          <t>Feedback visual inmediato de acierto y de error.</t>
        </is>
      </c>
      <c r="D56" s="5" t="inlineStr">
        <is>
          <t>Alta</t>
        </is>
      </c>
      <c r="E56" s="5" t="inlineStr">
        <is>
          <t>Cliente · listado 14/09</t>
        </is>
      </c>
      <c r="F56" s="5" t="inlineStr">
        <is>
          <t>F1</t>
        </is>
      </c>
      <c r="G56" s="5" t="inlineStr">
        <is>
          <t>F1.1</t>
        </is>
      </c>
      <c r="H56" s="5" t="inlineStr">
        <is>
          <t>D</t>
        </is>
      </c>
      <c r="I56" s="5" t="inlineStr">
        <is>
          <t>Acierto y fallo se distinguen al instante por color y destello.</t>
        </is>
      </c>
      <c r="J56" s="5" t="inlineStr">
        <is>
          <t>Cumple</t>
        </is>
      </c>
      <c r="K56" s="5" t="inlineStr">
        <is>
          <t>0.1.0</t>
        </is>
      </c>
      <c r="L56" s="5" t="inlineStr">
        <is>
          <t>F1.1 #9</t>
        </is>
      </c>
      <c r="M56" s="5" t="inlineStr">
        <is>
          <t>Verificado</t>
        </is>
      </c>
      <c r="N56" s="5" t="inlineStr">
        <is>
          <t>Cliente</t>
        </is>
      </c>
      <c r="O56" s="5" t="inlineStr">
        <is>
          <t>Color en la posición pulsada y destello en la barra del reto. Validado en la Sesión 1 (20/10, V-08): A09 y E04.</t>
        </is>
      </c>
      <c r="P56" s="6" t="n"/>
      <c r="Q56" s="5" t="inlineStr"/>
    </row>
    <row r="57" ht="120" customHeight="1">
      <c r="A57" s="4" t="inlineStr">
        <is>
          <t>J-10</t>
        </is>
      </c>
      <c r="B57" s="5" t="inlineStr">
        <is>
          <t>Modo Adivinar</t>
        </is>
      </c>
      <c r="C57" s="5" t="inlineStr">
        <is>
          <t>Al fallar se indica cuál era la posición correcta.</t>
        </is>
      </c>
      <c r="D57" s="5" t="inlineStr">
        <is>
          <t>Media</t>
        </is>
      </c>
      <c r="E57" s="5" t="inlineStr">
        <is>
          <t>Cliente · listado 14/09</t>
        </is>
      </c>
      <c r="F57" s="5" t="inlineStr">
        <is>
          <t>F1</t>
        </is>
      </c>
      <c r="G57" s="5" t="inlineStr">
        <is>
          <t>F1.3</t>
        </is>
      </c>
      <c r="H57" s="5" t="inlineStr">
        <is>
          <t>T</t>
        </is>
      </c>
      <c r="I57" s="5" t="inlineStr">
        <is>
          <t>Tras un fallo se marca la pulsada (relleno rojo y ✗); a los 1,2 s suena la nota buscada y se iluminan todas sus posiciones (relleno verde y ✓); 3 s después llega un reto nuevo limpio.</t>
        </is>
      </c>
      <c r="J57" s="5" t="inlineStr">
        <is>
          <t>Cumple</t>
        </is>
      </c>
      <c r="K57" s="5" t="inlineStr">
        <is>
          <t>0.1.2</t>
        </is>
      </c>
      <c r="L57" s="5" t="inlineStr">
        <is>
          <t>Banco (node --test): 8 comprobaciones · F1.1 #9 · Sesión 1: A09</t>
        </is>
      </c>
      <c r="M57" s="5" t="inlineStr">
        <is>
          <t>Verificado</t>
        </is>
      </c>
      <c r="N57" s="5" t="inlineStr">
        <is>
          <t>Banco automático + auditor técnico</t>
        </is>
      </c>
      <c r="O57"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Validado en la Sesión 1 (20/10, V-08): A09.</t>
        </is>
      </c>
      <c r="P57" s="6" t="n"/>
      <c r="Q57" s="5" t="inlineStr">
        <is>
          <t>Modificado</t>
        </is>
      </c>
    </row>
    <row r="58" ht="48" customHeight="1">
      <c r="A58" s="4" t="inlineStr">
        <is>
          <t>J-11</t>
        </is>
      </c>
      <c r="B58" s="5" t="inlineStr">
        <is>
          <t>Modo Adivinar</t>
        </is>
      </c>
      <c r="C58" s="5" t="inlineStr">
        <is>
          <t>Definir si el récord es único o independiente por afinación.</t>
        </is>
      </c>
      <c r="D58" s="5" t="inlineStr">
        <is>
          <t>Media</t>
        </is>
      </c>
      <c r="E58" s="5" t="inlineStr">
        <is>
          <t>Desarrollo · v1.1</t>
        </is>
      </c>
      <c r="F58" s="5" t="inlineStr">
        <is>
          <t>F4</t>
        </is>
      </c>
      <c r="G58" s="5" t="inlineStr">
        <is>
          <t>F4.4</t>
        </is>
      </c>
      <c r="H58" s="5" t="inlineStr">
        <is>
          <t>I</t>
        </is>
      </c>
      <c r="I58" s="5" t="inlineStr">
        <is>
          <t>La decisión queda anotada en requisitos.md.</t>
        </is>
      </c>
      <c r="J58" s="5" t="inlineStr">
        <is>
          <t>No cumple</t>
        </is>
      </c>
      <c r="K58" s="5" t="inlineStr">
        <is>
          <t>—</t>
        </is>
      </c>
      <c r="L58" s="5" t="inlineStr">
        <is>
          <t>—</t>
        </is>
      </c>
      <c r="M58" s="5" t="inlineStr">
        <is>
          <t>Pendiente</t>
        </is>
      </c>
      <c r="N58" s="5" t="inlineStr">
        <is>
          <t>Auditor de requisitos</t>
        </is>
      </c>
      <c r="O58" s="5" t="inlineStr">
        <is>
          <t>Hoy es único y global: una racha en DADGAD compite con una en estándar aunque la dificultad no sea comparable.</t>
        </is>
      </c>
      <c r="P58" s="6" t="n"/>
      <c r="Q58" s="5" t="inlineStr"/>
    </row>
    <row r="59" ht="63" customHeight="1">
      <c r="A59" s="4" t="inlineStr">
        <is>
          <t>J-12</t>
        </is>
      </c>
      <c r="B59" s="5" t="inlineStr">
        <is>
          <t>Modo Adivinar</t>
        </is>
      </c>
      <c r="C59" s="5" t="inlineStr">
        <is>
          <t>Los ajustes que revelan la respuesta —ver todas las notas— no se aplican en Adivinar.</t>
        </is>
      </c>
      <c r="D59" s="5" t="inlineStr">
        <is>
          <t>Alta</t>
        </is>
      </c>
      <c r="E59" s="5" t="inlineStr">
        <is>
          <t>Revisión de código 0.1.2</t>
        </is>
      </c>
      <c r="F59" s="5" t="inlineStr">
        <is>
          <t>F1</t>
        </is>
      </c>
      <c r="G59" s="5" t="inlineStr">
        <is>
          <t>F1.3</t>
        </is>
      </c>
      <c r="H59" s="5" t="inlineStr">
        <is>
          <t>T</t>
        </is>
      </c>
      <c r="I59" s="5" t="inlineStr">
        <is>
          <t>Con «Ver todas las notas» activo, Adivinar no muestra los nombres.</t>
        </is>
      </c>
      <c r="J59" s="5" t="inlineStr">
        <is>
          <t>Cumple</t>
        </is>
      </c>
      <c r="K59" s="5" t="inlineStr">
        <is>
          <t>0.1.2</t>
        </is>
      </c>
      <c r="L59" s="5" t="inlineStr">
        <is>
          <t>Banco (node --test) · F1.1 #10</t>
        </is>
      </c>
      <c r="M59" s="5" t="inlineStr">
        <is>
          <t>Verificado</t>
        </is>
      </c>
      <c r="N59" s="5" t="inlineStr">
        <is>
          <t>Banco automático + auditor técnico</t>
        </is>
      </c>
      <c r="O59" s="5" t="inlineStr">
        <is>
          <t>Encontrado al revisar el código: con «ver todas las notas» activo, el juego mostraba la solución. Validado en la Sesión 1 (20/10, V-08): A10.</t>
        </is>
      </c>
      <c r="P59" s="6" t="n"/>
      <c r="Q59" s="5" t="inlineStr"/>
    </row>
    <row r="60" ht="33" customHeight="1">
      <c r="A60" s="4" t="inlineStr">
        <is>
          <t>E-01</t>
        </is>
      </c>
      <c r="B60" s="5" t="inlineStr">
        <is>
          <t>Escalas</t>
        </is>
      </c>
      <c r="C60" s="5" t="inlineStr">
        <is>
          <t>Selección de escala a practicar (tónica + tipo).</t>
        </is>
      </c>
      <c r="D60" s="5" t="inlineStr">
        <is>
          <t>Alta</t>
        </is>
      </c>
      <c r="E60" s="5" t="inlineStr">
        <is>
          <t>Cliente · listado 14/09</t>
        </is>
      </c>
      <c r="F60" s="5" t="inlineStr">
        <is>
          <t>F5</t>
        </is>
      </c>
      <c r="G60" s="5" t="inlineStr">
        <is>
          <t>F5.2</t>
        </is>
      </c>
      <c r="H60" s="5" t="inlineStr">
        <is>
          <t>D</t>
        </is>
      </c>
      <c r="I60" s="5" t="inlineStr">
        <is>
          <t>Se puede elegir tónica y tipo de escala entre el catálogo aprobado.</t>
        </is>
      </c>
      <c r="J60" s="5" t="inlineStr">
        <is>
          <t>No cumple</t>
        </is>
      </c>
      <c r="K60" s="5" t="inlineStr">
        <is>
          <t>—</t>
        </is>
      </c>
      <c r="L60" s="5" t="inlineStr">
        <is>
          <t>—</t>
        </is>
      </c>
      <c r="M60" s="5" t="inlineStr">
        <is>
          <t>Pendiente</t>
        </is>
      </c>
      <c r="N60" s="5" t="inlineStr">
        <is>
          <t>Cliente</t>
        </is>
      </c>
      <c r="O60" s="5" t="inlineStr">
        <is>
          <t>Catálogo inicial por decidir.</t>
        </is>
      </c>
      <c r="P60" s="6" t="n"/>
      <c r="Q60" s="5" t="inlineStr"/>
    </row>
    <row r="61" ht="48" customHeight="1">
      <c r="A61" s="4" t="inlineStr">
        <is>
          <t>E-02</t>
        </is>
      </c>
      <c r="B61" s="5" t="inlineStr">
        <is>
          <t>Escalas</t>
        </is>
      </c>
      <c r="C61" s="5" t="inlineStr">
        <is>
          <t>El generador de escalas opera solo en afinación estándar en la primera entrega.</t>
        </is>
      </c>
      <c r="D61" s="5" t="inlineStr">
        <is>
          <t>Alta</t>
        </is>
      </c>
      <c r="E61" s="5" t="inlineStr">
        <is>
          <t>Cliente · listado 14/09</t>
        </is>
      </c>
      <c r="F61" s="5" t="inlineStr">
        <is>
          <t>F5</t>
        </is>
      </c>
      <c r="G61" s="5" t="inlineStr">
        <is>
          <t>F5.2</t>
        </is>
      </c>
      <c r="H61" s="5" t="inlineStr">
        <is>
          <t>T</t>
        </is>
      </c>
      <c r="I61" s="5" t="inlineStr">
        <is>
          <t>Para cada tónica y tipo, las posiciones generadas coinciden con una referencia externa en afinación estándar.</t>
        </is>
      </c>
      <c r="J61" s="5" t="inlineStr">
        <is>
          <t>No cumple</t>
        </is>
      </c>
      <c r="K61" s="5" t="inlineStr">
        <is>
          <t>—</t>
        </is>
      </c>
      <c r="L61" s="5" t="inlineStr">
        <is>
          <t>—</t>
        </is>
      </c>
      <c r="M61" s="5" t="inlineStr">
        <is>
          <t>Pendiente</t>
        </is>
      </c>
      <c r="N61" s="5" t="inlineStr">
        <is>
          <t>Banco automático + auditor técnico</t>
        </is>
      </c>
      <c r="O61" s="5" t="inlineStr">
        <is>
          <t>Alcance acotado. Las demás afinaciones pasan a E-02b.</t>
        </is>
      </c>
      <c r="P61" s="6" t="n"/>
      <c r="Q61" s="5" t="inlineStr"/>
    </row>
    <row r="62" ht="48" customHeight="1">
      <c r="A62" s="4" t="inlineStr">
        <is>
          <t>E-02b</t>
        </is>
      </c>
      <c r="B62" s="5" t="inlineStr">
        <is>
          <t>Escalas</t>
        </is>
      </c>
      <c r="C62" s="5" t="inlineStr">
        <is>
          <t>Escalas en afinaciones alternativas y variantes de digitación (por ejemplo, escala en octavas).</t>
        </is>
      </c>
      <c r="D62" s="5" t="inlineStr">
        <is>
          <t>Media</t>
        </is>
      </c>
      <c r="E62" s="5" t="inlineStr">
        <is>
          <t>AR-01</t>
        </is>
      </c>
      <c r="F62" s="5" t="inlineStr">
        <is>
          <t>Posterior</t>
        </is>
      </c>
      <c r="G62" s="5" t="inlineStr">
        <is>
          <t>Posterior</t>
        </is>
      </c>
      <c r="H62" s="5" t="inlineStr">
        <is>
          <t>N/A</t>
        </is>
      </c>
      <c r="I62" s="5" t="inlineStr">
        <is>
          <t>Fuera del alcance actual.</t>
        </is>
      </c>
      <c r="J62" s="5" t="inlineStr">
        <is>
          <t>No aplica</t>
        </is>
      </c>
      <c r="K62" s="5" t="inlineStr">
        <is>
          <t>—</t>
        </is>
      </c>
      <c r="L62" s="5" t="inlineStr">
        <is>
          <t>—</t>
        </is>
      </c>
      <c r="M62" s="5" t="inlineStr">
        <is>
          <t>No aplica</t>
        </is>
      </c>
      <c r="N62" s="5" t="inlineStr">
        <is>
          <t>—</t>
        </is>
      </c>
      <c r="O62" s="5" t="inlineStr">
        <is>
          <t>Fuera del alcance de F5.</t>
        </is>
      </c>
      <c r="P62" s="6" t="n"/>
      <c r="Q62" s="5" t="inlineStr"/>
    </row>
    <row r="63" ht="33" customHeight="1">
      <c r="A63" s="4" t="inlineStr">
        <is>
          <t>E-03</t>
        </is>
      </c>
      <c r="B63" s="5" t="inlineStr">
        <is>
          <t>Escalas</t>
        </is>
      </c>
      <c r="C63" s="5" t="inlineStr">
        <is>
          <t>Submodo Mostrar: la app ilumina las notas que componen la escala.</t>
        </is>
      </c>
      <c r="D63" s="5" t="inlineStr">
        <is>
          <t>Alta</t>
        </is>
      </c>
      <c r="E63" s="5" t="inlineStr">
        <is>
          <t>Cliente · listado 14/09</t>
        </is>
      </c>
      <c r="F63" s="5" t="inlineStr">
        <is>
          <t>F5</t>
        </is>
      </c>
      <c r="G63" s="5" t="inlineStr">
        <is>
          <t>F5.3</t>
        </is>
      </c>
      <c r="H63" s="5" t="inlineStr">
        <is>
          <t>D</t>
        </is>
      </c>
      <c r="I63" s="5" t="inlineStr">
        <is>
          <t>Mostrar ilumina únicamente las notas de la escala.</t>
        </is>
      </c>
      <c r="J63" s="5" t="inlineStr">
        <is>
          <t>No cumple</t>
        </is>
      </c>
      <c r="K63" s="5" t="inlineStr">
        <is>
          <t>—</t>
        </is>
      </c>
      <c r="L63" s="5" t="inlineStr">
        <is>
          <t>—</t>
        </is>
      </c>
      <c r="M63" s="5" t="inlineStr">
        <is>
          <t>Pendiente</t>
        </is>
      </c>
      <c r="N63" s="5" t="inlineStr">
        <is>
          <t>Cliente</t>
        </is>
      </c>
      <c r="O63" s="5" t="inlineStr"/>
      <c r="P63" s="6" t="n"/>
      <c r="Q63" s="5" t="inlineStr"/>
    </row>
    <row r="64" ht="48" customHeight="1">
      <c r="A64" s="4" t="inlineStr">
        <is>
          <t>E-04</t>
        </is>
      </c>
      <c r="B64" s="5" t="inlineStr">
        <is>
          <t>Escalas</t>
        </is>
      </c>
      <c r="C64" s="5" t="inlineStr">
        <is>
          <t>En Mostrar se indica el nombre de cada nota y su separación interválica respecto a la anterior.</t>
        </is>
      </c>
      <c r="D64" s="5" t="inlineStr">
        <is>
          <t>Alta</t>
        </is>
      </c>
      <c r="E64" s="5" t="inlineStr">
        <is>
          <t>Cliente · listado 14/09</t>
        </is>
      </c>
      <c r="F64" s="5" t="inlineStr">
        <is>
          <t>F5</t>
        </is>
      </c>
      <c r="G64" s="5" t="inlineStr">
        <is>
          <t>F5.3</t>
        </is>
      </c>
      <c r="H64" s="5" t="inlineStr">
        <is>
          <t>D</t>
        </is>
      </c>
      <c r="I64" s="5" t="inlineStr">
        <is>
          <t>Cada nota iluminada muestra su nombre y el intervalo T o ST respecto al grado anterior.</t>
        </is>
      </c>
      <c r="J64" s="5" t="inlineStr">
        <is>
          <t>No cumple</t>
        </is>
      </c>
      <c r="K64" s="5" t="inlineStr">
        <is>
          <t>—</t>
        </is>
      </c>
      <c r="L64" s="5" t="inlineStr">
        <is>
          <t>—</t>
        </is>
      </c>
      <c r="M64" s="5" t="inlineStr">
        <is>
          <t>Pendiente</t>
        </is>
      </c>
      <c r="N64" s="5" t="inlineStr">
        <is>
          <t>Cliente</t>
        </is>
      </c>
      <c r="O64" s="5" t="inlineStr">
        <is>
          <t>Etiquetas tipo T — T — ST — T — T — T — ST.</t>
        </is>
      </c>
      <c r="P64" s="6" t="n"/>
      <c r="Q64" s="5" t="inlineStr"/>
    </row>
    <row r="65" ht="48" customHeight="1">
      <c r="A65" s="4" t="inlineStr">
        <is>
          <t>E-05</t>
        </is>
      </c>
      <c r="B65" s="5" t="inlineStr">
        <is>
          <t>Escalas</t>
        </is>
      </c>
      <c r="C65" s="5" t="inlineStr">
        <is>
          <t>Submodo Práctica: valida solo la pertenencia de la nota a la escala; al pulsar una ajena, marca error e ilumina las correctas.</t>
        </is>
      </c>
      <c r="D65" s="5" t="inlineStr">
        <is>
          <t>Alta</t>
        </is>
      </c>
      <c r="E65" s="5" t="inlineStr">
        <is>
          <t>Cliente · listado 14/09</t>
        </is>
      </c>
      <c r="F65" s="5" t="inlineStr">
        <is>
          <t>F5</t>
        </is>
      </c>
      <c r="G65" s="5" t="inlineStr">
        <is>
          <t>F5.4</t>
        </is>
      </c>
      <c r="H65" s="5" t="inlineStr">
        <is>
          <t>T</t>
        </is>
      </c>
      <c r="I65" s="5" t="inlineStr">
        <is>
          <t>En Práctica, una nota ajena marca error e ilumina las correctas; una nota de la escala no marca error.</t>
        </is>
      </c>
      <c r="J65" s="5" t="inlineStr">
        <is>
          <t>No cumple</t>
        </is>
      </c>
      <c r="K65" s="5" t="inlineStr">
        <is>
          <t>—</t>
        </is>
      </c>
      <c r="L65" s="5" t="inlineStr">
        <is>
          <t>—</t>
        </is>
      </c>
      <c r="M65" s="5" t="inlineStr">
        <is>
          <t>Pendiente</t>
        </is>
      </c>
      <c r="N65" s="5" t="inlineStr">
        <is>
          <t>Banco automático + auditor técnico</t>
        </is>
      </c>
      <c r="O65" s="5" t="inlineStr">
        <is>
          <t>Alcance acotado: no valida orden ni digitación.</t>
        </is>
      </c>
      <c r="P65" s="6" t="n"/>
      <c r="Q65" s="5" t="inlineStr"/>
    </row>
    <row r="66" ht="33" customHeight="1">
      <c r="A66" s="4" t="inlineStr">
        <is>
          <t>E-05b</t>
        </is>
      </c>
      <c r="B66" s="5" t="inlineStr">
        <is>
          <t>Escalas</t>
        </is>
      </c>
      <c r="C66" s="5" t="inlineStr">
        <is>
          <t>Validación del orden de la escala y de patrones de digitación concretos.</t>
        </is>
      </c>
      <c r="D66" s="5" t="inlineStr">
        <is>
          <t>Media</t>
        </is>
      </c>
      <c r="E66" s="5" t="inlineStr">
        <is>
          <t>AR-01</t>
        </is>
      </c>
      <c r="F66" s="5" t="inlineStr">
        <is>
          <t>Posterior</t>
        </is>
      </c>
      <c r="G66" s="5" t="inlineStr">
        <is>
          <t>Posterior</t>
        </is>
      </c>
      <c r="H66" s="5" t="inlineStr">
        <is>
          <t>N/A</t>
        </is>
      </c>
      <c r="I66" s="5" t="inlineStr">
        <is>
          <t>Fuera del alcance actual.</t>
        </is>
      </c>
      <c r="J66" s="5" t="inlineStr">
        <is>
          <t>No aplica</t>
        </is>
      </c>
      <c r="K66" s="5" t="inlineStr">
        <is>
          <t>—</t>
        </is>
      </c>
      <c r="L66" s="5" t="inlineStr">
        <is>
          <t>—</t>
        </is>
      </c>
      <c r="M66" s="5" t="inlineStr">
        <is>
          <t>No aplica</t>
        </is>
      </c>
      <c r="N66" s="5" t="inlineStr">
        <is>
          <t>—</t>
        </is>
      </c>
      <c r="O66" s="5" t="inlineStr">
        <is>
          <t>Fuera del alcance de F5.</t>
        </is>
      </c>
      <c r="P66" s="6" t="n"/>
      <c r="Q66" s="5" t="inlineStr"/>
    </row>
    <row r="67" ht="33" customHeight="1">
      <c r="A67" s="4" t="inlineStr">
        <is>
          <t>E-06</t>
        </is>
      </c>
      <c r="B67" s="5" t="inlineStr">
        <is>
          <t>Escalas</t>
        </is>
      </c>
      <c r="C67" s="5" t="inlineStr">
        <is>
          <t>Guiado nota a nota en el submodo Mostrar.</t>
        </is>
      </c>
      <c r="D67" s="5" t="inlineStr">
        <is>
          <t>Media</t>
        </is>
      </c>
      <c r="E67" s="5" t="inlineStr">
        <is>
          <t>Cliente · listado 14/09</t>
        </is>
      </c>
      <c r="F67" s="5" t="inlineStr">
        <is>
          <t>F5</t>
        </is>
      </c>
      <c r="G67" s="5" t="inlineStr">
        <is>
          <t>F5.3</t>
        </is>
      </c>
      <c r="H67" s="5" t="inlineStr">
        <is>
          <t>D</t>
        </is>
      </c>
      <c r="I67" s="5" t="inlineStr">
        <is>
          <t>El guiado avanza nota a nota por la escala.</t>
        </is>
      </c>
      <c r="J67" s="5" t="inlineStr">
        <is>
          <t>No cumple</t>
        </is>
      </c>
      <c r="K67" s="5" t="inlineStr">
        <is>
          <t>—</t>
        </is>
      </c>
      <c r="L67" s="5" t="inlineStr">
        <is>
          <t>—</t>
        </is>
      </c>
      <c r="M67" s="5" t="inlineStr">
        <is>
          <t>Pendiente</t>
        </is>
      </c>
      <c r="N67" s="5" t="inlineStr">
        <is>
          <t>Cliente</t>
        </is>
      </c>
      <c r="O67" s="5" t="inlineStr"/>
      <c r="P67" s="6" t="n"/>
      <c r="Q67" s="5" t="inlineStr"/>
    </row>
    <row r="68" ht="33" customHeight="1">
      <c r="A68" s="4" t="inlineStr">
        <is>
          <t>A-01</t>
        </is>
      </c>
      <c r="B68" s="5" t="inlineStr">
        <is>
          <t>Afinador</t>
        </is>
      </c>
      <c r="C68" s="5" t="inlineStr">
        <is>
          <t>Afinador por referencia: la app reproduce la nota de cada cuerda para afinar de oído.</t>
        </is>
      </c>
      <c r="D68" s="5" t="inlineStr">
        <is>
          <t>Alta</t>
        </is>
      </c>
      <c r="E68" s="5" t="inlineStr">
        <is>
          <t>Cliente · listado 14/09</t>
        </is>
      </c>
      <c r="F68" s="5" t="inlineStr">
        <is>
          <t>F1</t>
        </is>
      </c>
      <c r="G68" s="5" t="inlineStr">
        <is>
          <t>F1.1</t>
        </is>
      </c>
      <c r="H68" s="5" t="inlineStr">
        <is>
          <t>D</t>
        </is>
      </c>
      <c r="I68" s="5" t="inlineStr">
        <is>
          <t>Pulsar cada cuerda en el afinador reproduce su nota de referencia.</t>
        </is>
      </c>
      <c r="J68" s="5" t="inlineStr">
        <is>
          <t>Cumple</t>
        </is>
      </c>
      <c r="K68" s="5" t="inlineStr">
        <is>
          <t>0.1.0</t>
        </is>
      </c>
      <c r="L68" s="5" t="inlineStr">
        <is>
          <t>F1.1 #14</t>
        </is>
      </c>
      <c r="M68" s="5" t="inlineStr">
        <is>
          <t>Pendiente</t>
        </is>
      </c>
      <c r="N68" s="5" t="inlineStr">
        <is>
          <t>Cliente</t>
        </is>
      </c>
      <c r="O68" s="5" t="inlineStr">
        <is>
          <t>El MVP real del afinador.</t>
        </is>
      </c>
      <c r="P68" s="6" t="n"/>
      <c r="Q68" s="5" t="inlineStr"/>
    </row>
    <row r="69" ht="93" customHeight="1">
      <c r="A69" s="4" t="inlineStr">
        <is>
          <t>A-02</t>
        </is>
      </c>
      <c r="B69" s="5" t="inlineStr">
        <is>
          <t>Afinador</t>
        </is>
      </c>
      <c r="C69" s="5" t="inlineStr">
        <is>
          <t>Afinador por micrófono: capta la cuerda e indica si subir o bajar.</t>
        </is>
      </c>
      <c r="D69" s="5" t="inlineStr">
        <is>
          <t>Alta</t>
        </is>
      </c>
      <c r="E69" s="5" t="inlineStr">
        <is>
          <t>Cliente · listado 14/09</t>
        </is>
      </c>
      <c r="F69" s="5" t="inlineStr">
        <is>
          <t>F4</t>
        </is>
      </c>
      <c r="G69" s="5" t="inlineStr">
        <is>
          <t>F4.3</t>
        </is>
      </c>
      <c r="H69" s="5" t="inlineStr">
        <is>
          <t>D</t>
        </is>
      </c>
      <c r="I69" s="5" t="inlineStr">
        <is>
          <t>Con una guitarra real, el afinador indica subir o bajar hasta dejarla afinada, en estándar y en una alternativa.</t>
        </is>
      </c>
      <c r="J69" s="5" t="inlineStr">
        <is>
          <t>No cumple</t>
        </is>
      </c>
      <c r="K69" s="5" t="inlineStr">
        <is>
          <t>—</t>
        </is>
      </c>
      <c r="L69" s="5" t="inlineStr">
        <is>
          <t>—</t>
        </is>
      </c>
      <c r="M69" s="5" t="inlineStr">
        <is>
          <t>Pendiente</t>
        </is>
      </c>
      <c r="N69" s="5" t="inlineStr">
        <is>
          <t>Cliente</t>
        </is>
      </c>
      <c r="O69" s="5" t="inlineStr">
        <is>
          <t>Exige contexto seguro: funciona en https y en localhost. No funciona con file:// ni desde el móvil por WiFi contra el Live Server del ordenador (http://192.168… no es contexto seguro). En el móvil llega con la publicación (F7.2).</t>
        </is>
      </c>
      <c r="P69" s="6" t="n"/>
      <c r="Q69" s="5" t="inlineStr"/>
    </row>
    <row r="70" ht="63" customHeight="1">
      <c r="A70" s="4" t="inlineStr">
        <is>
          <t>A-02-CA</t>
        </is>
      </c>
      <c r="B70" s="5" t="inlineStr">
        <is>
          <t>Afinador</t>
        </is>
      </c>
      <c r="C70" s="5" t="inlineStr">
        <is>
          <t>Criterios de aceptación de A-02: precisión de detección ±2 cents en silencio razonable, latencia menor de 300 ms; el ruido de fondo queda fuera de la primera entrega.</t>
        </is>
      </c>
      <c r="D70" s="5" t="inlineStr">
        <is>
          <t>Alta</t>
        </is>
      </c>
      <c r="E70" s="5" t="inlineStr">
        <is>
          <t>AR-01</t>
        </is>
      </c>
      <c r="F70" s="5" t="inlineStr">
        <is>
          <t>F4</t>
        </is>
      </c>
      <c r="G70" s="5" t="inlineStr">
        <is>
          <t>F4.2</t>
        </is>
      </c>
      <c r="H70" s="5" t="inlineStr">
        <is>
          <t>T</t>
        </is>
      </c>
      <c r="I70" s="5" t="inlineStr">
        <is>
          <t>Banco de pruebas: error ≤ ±2 cents y latencia &lt; 300 ms sobre muestras desafinadas una cantidad conocida, tomando como referencia su frecuencia medida en samples/afinacion.json.</t>
        </is>
      </c>
      <c r="J70" s="5" t="inlineStr">
        <is>
          <t>No cumple</t>
        </is>
      </c>
      <c r="K70" s="5" t="inlineStr">
        <is>
          <t>—</t>
        </is>
      </c>
      <c r="L70" s="5" t="inlineStr">
        <is>
          <t>—</t>
        </is>
      </c>
      <c r="M70" s="5" t="inlineStr">
        <is>
          <t>Pendiente</t>
        </is>
      </c>
      <c r="N70" s="5" t="inlineStr">
        <is>
          <t>Banco automático + auditor técnico</t>
        </is>
      </c>
      <c r="O70" s="5" t="inlineStr">
        <is>
          <t>La precisión de detección debe ser mejor que el umbral de «afinado» de A-03.</t>
        </is>
      </c>
      <c r="P70" s="6" t="n"/>
      <c r="Q70" s="5" t="inlineStr"/>
    </row>
    <row r="71" ht="33" customHeight="1">
      <c r="A71" s="4" t="inlineStr">
        <is>
          <t>A-03</t>
        </is>
      </c>
      <c r="B71" s="5" t="inlineStr">
        <is>
          <t>Afinador</t>
        </is>
      </c>
      <c r="C71" s="5" t="inlineStr">
        <is>
          <t>Indicador de desviación en cents, con umbral de afinado en ±5 cents.</t>
        </is>
      </c>
      <c r="D71" s="5" t="inlineStr">
        <is>
          <t>Alta</t>
        </is>
      </c>
      <c r="E71" s="5" t="inlineStr">
        <is>
          <t>Cliente · listado 14/09</t>
        </is>
      </c>
      <c r="F71" s="5" t="inlineStr">
        <is>
          <t>F4</t>
        </is>
      </c>
      <c r="G71" s="5" t="inlineStr">
        <is>
          <t>F4.3</t>
        </is>
      </c>
      <c r="H71" s="5" t="inlineStr">
        <is>
          <t>D</t>
        </is>
      </c>
      <c r="I71" s="5" t="inlineStr">
        <is>
          <t>La aguja indica la desviación en cents y marca «afinado» dentro de ±5 cents.</t>
        </is>
      </c>
      <c r="J71" s="5" t="inlineStr">
        <is>
          <t>No cumple</t>
        </is>
      </c>
      <c r="K71" s="5" t="inlineStr">
        <is>
          <t>—</t>
        </is>
      </c>
      <c r="L71" s="5" t="inlineStr">
        <is>
          <t>—</t>
        </is>
      </c>
      <c r="M71" s="5" t="inlineStr">
        <is>
          <t>Pendiente</t>
        </is>
      </c>
      <c r="N71" s="5" t="inlineStr">
        <is>
          <t>Cliente</t>
        </is>
      </c>
      <c r="O71" s="5" t="inlineStr"/>
      <c r="P71" s="6" t="n"/>
      <c r="Q71" s="5" t="inlineStr"/>
    </row>
    <row r="72" ht="33" customHeight="1">
      <c r="A72" s="4" t="inlineStr">
        <is>
          <t>A-04</t>
        </is>
      </c>
      <c r="B72" s="5" t="inlineStr">
        <is>
          <t>Afinador</t>
        </is>
      </c>
      <c r="C72" s="5" t="inlineStr">
        <is>
          <t>Detección automática de cuerda por proximidad a la nota detectada.</t>
        </is>
      </c>
      <c r="D72" s="5" t="inlineStr">
        <is>
          <t>Alta</t>
        </is>
      </c>
      <c r="E72" s="5" t="inlineStr">
        <is>
          <t>Cliente · listado 14/09</t>
        </is>
      </c>
      <c r="F72" s="5" t="inlineStr">
        <is>
          <t>F4</t>
        </is>
      </c>
      <c r="G72" s="5" t="inlineStr">
        <is>
          <t>F4.3</t>
        </is>
      </c>
      <c r="H72" s="5" t="inlineStr">
        <is>
          <t>T</t>
        </is>
      </c>
      <c r="I72" s="5" t="inlineStr">
        <is>
          <t>Con la cuerda a menos de un semitono de su nota, el afinador identifica la cuerda correcta.</t>
        </is>
      </c>
      <c r="J72" s="5" t="inlineStr">
        <is>
          <t>No cumple</t>
        </is>
      </c>
      <c r="K72" s="5" t="inlineStr">
        <is>
          <t>—</t>
        </is>
      </c>
      <c r="L72" s="5" t="inlineStr">
        <is>
          <t>—</t>
        </is>
      </c>
      <c r="M72" s="5" t="inlineStr">
        <is>
          <t>Pendiente</t>
        </is>
      </c>
      <c r="N72" s="5" t="inlineStr">
        <is>
          <t>Banco automático + auditor técnico</t>
        </is>
      </c>
      <c r="O72" s="5" t="inlineStr">
        <is>
          <t>Limitación asumida: con una cuerda muy desafinada puede elegir la equivocada.</t>
        </is>
      </c>
      <c r="P72" s="6" t="n"/>
      <c r="Q72" s="5" t="inlineStr"/>
    </row>
    <row r="73" ht="33" customHeight="1">
      <c r="A73" s="4" t="inlineStr">
        <is>
          <t>A-05</t>
        </is>
      </c>
      <c r="B73" s="5" t="inlineStr">
        <is>
          <t>Afinador</t>
        </is>
      </c>
      <c r="C73" s="5" t="inlineStr">
        <is>
          <t>Selección manual de cuerda, que prevalece sobre A-04.</t>
        </is>
      </c>
      <c r="D73" s="5" t="inlineStr">
        <is>
          <t>Alta</t>
        </is>
      </c>
      <c r="E73" s="5" t="inlineStr">
        <is>
          <t>Cliente · listado 14/09</t>
        </is>
      </c>
      <c r="F73" s="5" t="inlineStr">
        <is>
          <t>F4</t>
        </is>
      </c>
      <c r="G73" s="5" t="inlineStr">
        <is>
          <t>F4.3</t>
        </is>
      </c>
      <c r="H73" s="5" t="inlineStr">
        <is>
          <t>D</t>
        </is>
      </c>
      <c r="I73" s="5" t="inlineStr">
        <is>
          <t>Con una cuerda fijada a mano, el afinador la usa como referencia aunque esté muy desafinada.</t>
        </is>
      </c>
      <c r="J73" s="5" t="inlineStr">
        <is>
          <t>No cumple</t>
        </is>
      </c>
      <c r="K73" s="5" t="inlineStr">
        <is>
          <t>—</t>
        </is>
      </c>
      <c r="L73" s="5" t="inlineStr">
        <is>
          <t>—</t>
        </is>
      </c>
      <c r="M73" s="5" t="inlineStr">
        <is>
          <t>Pendiente</t>
        </is>
      </c>
      <c r="N73" s="5" t="inlineStr">
        <is>
          <t>Cliente</t>
        </is>
      </c>
      <c r="O73" s="5" t="inlineStr">
        <is>
          <t>Resuelve la limitación anterior.</t>
        </is>
      </c>
      <c r="P73" s="6" t="n"/>
      <c r="Q73" s="5" t="inlineStr"/>
    </row>
    <row r="74" ht="33" customHeight="1">
      <c r="A74" s="4" t="inlineStr">
        <is>
          <t>A-06</t>
        </is>
      </c>
      <c r="B74" s="5" t="inlineStr">
        <is>
          <t>Afinador</t>
        </is>
      </c>
      <c r="C74" s="5" t="inlineStr">
        <is>
          <t>Afinación estándar (E A D G B E).</t>
        </is>
      </c>
      <c r="D74" s="5" t="inlineStr">
        <is>
          <t>Alta</t>
        </is>
      </c>
      <c r="E74" s="5" t="inlineStr">
        <is>
          <t>Cliente · listado 14/09</t>
        </is>
      </c>
      <c r="F74" s="5" t="inlineStr">
        <is>
          <t>F1</t>
        </is>
      </c>
      <c r="G74" s="5" t="inlineStr">
        <is>
          <t>F1.1</t>
        </is>
      </c>
      <c r="H74" s="5" t="inlineStr">
        <is>
          <t>I</t>
        </is>
      </c>
      <c r="I74" s="5" t="inlineStr">
        <is>
          <t>La afinación estándar es E2 A2 D3 G3 B3 E4.</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48" customHeight="1">
      <c r="A75" s="4" t="inlineStr">
        <is>
          <t>A-07</t>
        </is>
      </c>
      <c r="B75" s="5" t="inlineStr">
        <is>
          <t>Afinador</t>
        </is>
      </c>
      <c r="C75" s="5" t="inlineStr">
        <is>
          <t>Cinco afinaciones alternativas predefinidas: Drop D, medio tono abajo, Open G, Open D y DADGAD.</t>
        </is>
      </c>
      <c r="D75" s="5" t="inlineStr">
        <is>
          <t>Alta</t>
        </is>
      </c>
      <c r="E75" s="5" t="inlineStr">
        <is>
          <t>Cliente · listado 14/09</t>
        </is>
      </c>
      <c r="F75" s="5" t="inlineStr">
        <is>
          <t>F1</t>
        </is>
      </c>
      <c r="G75" s="5" t="inlineStr">
        <is>
          <t>F1.1</t>
        </is>
      </c>
      <c r="H75" s="5" t="inlineStr">
        <is>
          <t>I</t>
        </is>
      </c>
      <c r="I75" s="5" t="inlineStr">
        <is>
          <t>Existen Drop D, medio tono abajo, Open G, Open D y DADGAD con sus notas correctas.</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48" customHeight="1">
      <c r="A76" s="4" t="inlineStr">
        <is>
          <t>A-08</t>
        </is>
      </c>
      <c r="B76" s="5" t="inlineStr">
        <is>
          <t>Afinador</t>
        </is>
      </c>
      <c r="C76" s="5" t="inlineStr">
        <is>
          <t>Afinación personalizada ajustando cada cuerda por semitonos.</t>
        </is>
      </c>
      <c r="D76" s="5" t="inlineStr">
        <is>
          <t>Alta</t>
        </is>
      </c>
      <c r="E76" s="5" t="inlineStr">
        <is>
          <t>Cliente · listado 14/09</t>
        </is>
      </c>
      <c r="F76" s="5" t="inlineStr">
        <is>
          <t>F1</t>
        </is>
      </c>
      <c r="G76" s="5" t="inlineStr">
        <is>
          <t>F1.1</t>
        </is>
      </c>
      <c r="H76" s="5" t="inlineStr">
        <is>
          <t>D</t>
        </is>
      </c>
      <c r="I76" s="5" t="inlineStr">
        <is>
          <t>Los botones +/− mueven la cuerda un semitono y pasan a Personalizada sin alterar los presets.</t>
        </is>
      </c>
      <c r="J76" s="5" t="inlineStr">
        <is>
          <t>Cumple</t>
        </is>
      </c>
      <c r="K76" s="5" t="inlineStr">
        <is>
          <t>0.1.0</t>
        </is>
      </c>
      <c r="L76" s="5" t="inlineStr">
        <is>
          <t>F1.1 #4</t>
        </is>
      </c>
      <c r="M76" s="5" t="inlineStr">
        <is>
          <t>Verificado</t>
        </is>
      </c>
      <c r="N76" s="5" t="inlineStr">
        <is>
          <t>Cliente</t>
        </is>
      </c>
      <c r="O76" s="5" t="inlineStr">
        <is>
          <t>Cualquier ajuste convierte la afinación en personalizada sin alterar los presets. Validado en la Sesión 1 (20/10, V-08): A13.</t>
        </is>
      </c>
      <c r="P76" s="6" t="n"/>
      <c r="Q76" s="5" t="inlineStr"/>
    </row>
    <row r="77" ht="33" customHeight="1">
      <c r="A77" s="4" t="inlineStr">
        <is>
          <t>A-09</t>
        </is>
      </c>
      <c r="B77" s="5" t="inlineStr">
        <is>
          <t>Afinador</t>
        </is>
      </c>
      <c r="C77" s="5" t="inlineStr">
        <is>
          <t>Al seleccionar una afinación se muestran sus notas en un pentagrama.</t>
        </is>
      </c>
      <c r="D77" s="5" t="inlineStr">
        <is>
          <t>Media</t>
        </is>
      </c>
      <c r="E77" s="5" t="inlineStr">
        <is>
          <t>Cliente · listado 14/09</t>
        </is>
      </c>
      <c r="F77" s="5" t="inlineStr">
        <is>
          <t>F1</t>
        </is>
      </c>
      <c r="G77" s="5" t="inlineStr">
        <is>
          <t>F1.1</t>
        </is>
      </c>
      <c r="H77" s="5" t="inlineStr">
        <is>
          <t>D</t>
        </is>
      </c>
      <c r="I77" s="5" t="inlineStr">
        <is>
          <t>El pentagrama del afinador refleja la afinación seleccionada.</t>
        </is>
      </c>
      <c r="J77" s="5" t="inlineStr">
        <is>
          <t>Cumple</t>
        </is>
      </c>
      <c r="K77" s="5" t="inlineStr">
        <is>
          <t>0.1.0</t>
        </is>
      </c>
      <c r="L77" s="5" t="inlineStr">
        <is>
          <t>F1.1 #14</t>
        </is>
      </c>
      <c r="M77" s="5" t="inlineStr">
        <is>
          <t>Pendiente</t>
        </is>
      </c>
      <c r="N77" s="5" t="inlineStr">
        <is>
          <t>Cliente</t>
        </is>
      </c>
      <c r="O77" s="5" t="inlineStr">
        <is>
          <t>Ver P-04.</t>
        </is>
      </c>
      <c r="P77" s="6" t="n"/>
      <c r="Q77" s="5" t="inlineStr"/>
    </row>
    <row r="78" ht="48" customHeight="1">
      <c r="A78" s="4" t="inlineStr">
        <is>
          <t>A-10</t>
        </is>
      </c>
      <c r="B78" s="5" t="inlineStr">
        <is>
          <t>Afinador</t>
        </is>
      </c>
      <c r="C78" s="5" t="inlineStr">
        <is>
          <t>La afinación activa se aplica también a los modos de aprendizaje.</t>
        </is>
      </c>
      <c r="D78" s="5" t="inlineStr">
        <is>
          <t>Alta</t>
        </is>
      </c>
      <c r="E78" s="5" t="inlineStr">
        <is>
          <t>Cliente · listado 14/09</t>
        </is>
      </c>
      <c r="F78" s="5" t="inlineStr">
        <is>
          <t>F1</t>
        </is>
      </c>
      <c r="G78" s="5" t="inlineStr">
        <is>
          <t>F1.1</t>
        </is>
      </c>
      <c r="H78" s="5" t="inlineStr">
        <is>
          <t>T</t>
        </is>
      </c>
      <c r="I78" s="5" t="inlineStr">
        <is>
          <t>Al cambiar de afinación, el mástil y los retos se rehacen con las nuevas notas.</t>
        </is>
      </c>
      <c r="J78" s="5" t="inlineStr">
        <is>
          <t>Cumple</t>
        </is>
      </c>
      <c r="K78" s="5" t="inlineStr">
        <is>
          <t>0.1.0</t>
        </is>
      </c>
      <c r="L78" s="5" t="inlineStr">
        <is>
          <t>Banco (node --test): Drop D</t>
        </is>
      </c>
      <c r="M78" s="5" t="inlineStr">
        <is>
          <t>Verificado parcialmente</t>
        </is>
      </c>
      <c r="N78" s="5" t="inlineStr">
        <is>
          <t>Banco automático + auditor técnico</t>
        </is>
      </c>
      <c r="O78" s="5" t="inlineStr">
        <is>
          <t>Ninguna nota está escrita a mano: todas derivan de la afinación activa, y la propagación ocurre en un único punto del código.</t>
        </is>
      </c>
      <c r="P78" s="6" t="n"/>
      <c r="Q78" s="5" t="inlineStr"/>
    </row>
    <row r="79" ht="33" customHeight="1">
      <c r="A79" s="4" t="inlineStr">
        <is>
          <t>A-11</t>
        </is>
      </c>
      <c r="B79" s="5" t="inlineStr">
        <is>
          <t>Afinador</t>
        </is>
      </c>
      <c r="C79" s="5" t="inlineStr">
        <is>
          <t>La afinación persiste entre sesiones.</t>
        </is>
      </c>
      <c r="D79" s="5" t="inlineStr">
        <is>
          <t>Media</t>
        </is>
      </c>
      <c r="E79" s="5" t="inlineStr">
        <is>
          <t>Cliente · listado 14/09</t>
        </is>
      </c>
      <c r="F79" s="5" t="inlineStr">
        <is>
          <t>F1</t>
        </is>
      </c>
      <c r="G79" s="5" t="inlineStr">
        <is>
          <t>F1.1</t>
        </is>
      </c>
      <c r="H79" s="5" t="inlineStr">
        <is>
          <t>D</t>
        </is>
      </c>
      <c r="I79" s="5" t="inlineStr">
        <is>
          <t>Tras recargar se mantiene la afinación, incluida la personalizada.</t>
        </is>
      </c>
      <c r="J79" s="5" t="inlineStr">
        <is>
          <t>Cumple</t>
        </is>
      </c>
      <c r="K79" s="5" t="inlineStr">
        <is>
          <t>0.1.0</t>
        </is>
      </c>
      <c r="L79" s="5" t="inlineStr">
        <is>
          <t>F1.1 #13</t>
        </is>
      </c>
      <c r="M79" s="5" t="inlineStr">
        <is>
          <t>Pendiente</t>
        </is>
      </c>
      <c r="N79" s="5" t="inlineStr">
        <is>
          <t>Cliente</t>
        </is>
      </c>
      <c r="O79" s="5" t="inlineStr"/>
      <c r="P79" s="6" t="n"/>
      <c r="Q79" s="5" t="inlineStr"/>
    </row>
    <row r="80" ht="120" customHeight="1">
      <c r="A80" s="4" t="inlineStr">
        <is>
          <t>V-01</t>
        </is>
      </c>
      <c r="B80" s="5" t="inlineStr">
        <is>
          <t>Visualización</t>
        </is>
      </c>
      <c r="C80" s="5" t="inlineStr">
        <is>
          <t>En móvil se sugiere la orientación horizontal con un aviso discreto; no se fuerza.</t>
        </is>
      </c>
      <c r="D80" s="5" t="inlineStr">
        <is>
          <t>Alta</t>
        </is>
      </c>
      <c r="E80" s="5" t="inlineStr">
        <is>
          <t>Cliente · 20/10 (interfaz.md v1.0)</t>
        </is>
      </c>
      <c r="F80" s="5" t="inlineStr">
        <is>
          <t>F3</t>
        </is>
      </c>
      <c r="G80" s="5" t="inlineStr">
        <is>
          <t>F3.2</t>
        </is>
      </c>
      <c r="H80" s="5" t="inlineStr">
        <is>
          <t>D</t>
        </is>
      </c>
      <c r="I80"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0" s="5" t="inlineStr">
        <is>
          <t>Cumple</t>
        </is>
      </c>
      <c r="K80" s="5" t="inlineStr">
        <is>
          <t>0.3.0</t>
        </is>
      </c>
      <c r="L80" s="5" t="inlineStr">
        <is>
          <t>V-06: comprobar-disposicion.js en 14 pantallas: 52,8 / 60,8 / 42,5 px · Banco (node --test): aviso para girar</t>
        </is>
      </c>
      <c r="M80" s="5" t="inlineStr">
        <is>
          <t>Verificado</t>
        </is>
      </c>
      <c r="N80" s="5" t="inlineStr">
        <is>
          <t>Cliente</t>
        </is>
      </c>
      <c r="O80"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V-08): C02, C03 y D03.</t>
        </is>
      </c>
      <c r="P80" s="6" t="n"/>
      <c r="Q80" s="5" t="inlineStr"/>
    </row>
    <row r="81" ht="33" customHeight="1">
      <c r="A81" s="4" t="inlineStr">
        <is>
          <t>V-02</t>
        </is>
      </c>
      <c r="B81" s="5" t="inlineStr">
        <is>
          <t>Visualización</t>
        </is>
      </c>
      <c r="C81" s="5" t="inlineStr">
        <is>
          <t>El afinador funciona en vertical y en horizontal.</t>
        </is>
      </c>
      <c r="D81" s="5" t="inlineStr">
        <is>
          <t>Alta</t>
        </is>
      </c>
      <c r="E81" s="5" t="inlineStr">
        <is>
          <t>Cliente · listado 14/09</t>
        </is>
      </c>
      <c r="F81" s="5" t="inlineStr">
        <is>
          <t>F1</t>
        </is>
      </c>
      <c r="G81" s="5" t="inlineStr">
        <is>
          <t>F1.1</t>
        </is>
      </c>
      <c r="H81" s="5" t="inlineStr">
        <is>
          <t>D</t>
        </is>
      </c>
      <c r="I81" s="5" t="inlineStr">
        <is>
          <t>El afinador se usa con comodidad en vertical y en horizontal.</t>
        </is>
      </c>
      <c r="J81" s="5" t="inlineStr">
        <is>
          <t>Cumple</t>
        </is>
      </c>
      <c r="K81" s="5" t="inlineStr">
        <is>
          <t>0.1.0</t>
        </is>
      </c>
      <c r="L81" s="5" t="inlineStr">
        <is>
          <t>F1.1 #14</t>
        </is>
      </c>
      <c r="M81" s="5" t="inlineStr">
        <is>
          <t>Pendiente</t>
        </is>
      </c>
      <c r="N81" s="5" t="inlineStr">
        <is>
          <t>Cliente</t>
        </is>
      </c>
      <c r="O81" s="5" t="inlineStr"/>
      <c r="P81" s="6" t="n"/>
      <c r="Q81" s="5" t="inlineStr"/>
    </row>
    <row r="82" ht="33" customHeight="1">
      <c r="A82" s="4" t="inlineStr">
        <is>
          <t>V-03</t>
        </is>
      </c>
      <c r="B82" s="5" t="inlineStr">
        <is>
          <t>Visualización</t>
        </is>
      </c>
      <c r="C82" s="5" t="inlineStr">
        <is>
          <t>En escritorio el mástil aprovecha el ancho disponible.</t>
        </is>
      </c>
      <c r="D82" s="5" t="inlineStr">
        <is>
          <t>Alta</t>
        </is>
      </c>
      <c r="E82" s="5" t="inlineStr">
        <is>
          <t>Cliente · listado 14/09</t>
        </is>
      </c>
      <c r="F82" s="5" t="inlineStr">
        <is>
          <t>F1</t>
        </is>
      </c>
      <c r="G82" s="5" t="inlineStr">
        <is>
          <t>F1.1</t>
        </is>
      </c>
      <c r="H82" s="5" t="inlineStr">
        <is>
          <t>D</t>
        </is>
      </c>
      <c r="I82" s="5" t="inlineStr">
        <is>
          <t>En una pantalla de 1280 px se ven los 24 trastes sin desplazarse.</t>
        </is>
      </c>
      <c r="J82" s="5" t="inlineStr">
        <is>
          <t>Cumple</t>
        </is>
      </c>
      <c r="K82" s="5" t="inlineStr">
        <is>
          <t>0.1.0</t>
        </is>
      </c>
      <c r="L82" s="5" t="inlineStr">
        <is>
          <t>F1.1 #14</t>
        </is>
      </c>
      <c r="M82" s="5" t="inlineStr">
        <is>
          <t>Pendiente</t>
        </is>
      </c>
      <c r="N82" s="5" t="inlineStr">
        <is>
          <t>Cliente</t>
        </is>
      </c>
      <c r="O82" s="5" t="inlineStr">
        <is>
          <t>Arranca mostrando el mástil completo en pantallas anchas.</t>
        </is>
      </c>
      <c r="P82" s="6" t="n"/>
      <c r="Q82" s="5" t="inlineStr"/>
    </row>
    <row r="83" ht="120" customHeight="1">
      <c r="A83" s="4" t="inlineStr">
        <is>
          <t>V-04</t>
        </is>
      </c>
      <c r="B83" s="5" t="inlineStr">
        <is>
          <t>Visualización</t>
        </is>
      </c>
      <c r="C83" s="5" t="inlineStr">
        <is>
          <t>Control de zoom que determina qué porción del mástil se ve.</t>
        </is>
      </c>
      <c r="D83" s="5" t="inlineStr">
        <is>
          <t>Alta</t>
        </is>
      </c>
      <c r="E83" s="5" t="inlineStr">
        <is>
          <t>Cliente · 20/10 (interfaz.md v1.0)</t>
        </is>
      </c>
      <c r="F83" s="5" t="inlineStr">
        <is>
          <t>F1 · F3</t>
        </is>
      </c>
      <c r="G83" s="5" t="inlineStr">
        <is>
          <t>F1.1 · F3.2</t>
        </is>
      </c>
      <c r="H83" s="5" t="inlineStr">
        <is>
          <t>D</t>
        </is>
      </c>
      <c r="I83"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3" s="5" t="inlineStr">
        <is>
          <t>Cumple</t>
        </is>
      </c>
      <c r="K83" s="5" t="inlineStr">
        <is>
          <t>0.1.0</t>
        </is>
      </c>
      <c r="L83" s="5" t="inlineStr">
        <is>
          <t>F1.1 #7 y #8 · V-06 · Banco (node --test): 40 px por defecto, 28 con «+», orden de los botones</t>
        </is>
      </c>
      <c r="M83" s="5" t="inlineStr">
        <is>
          <t>Verificado</t>
        </is>
      </c>
      <c r="N83" s="5" t="inlineStr">
        <is>
          <t>Cliente</t>
        </is>
      </c>
      <c r="O83"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V-08): A07, A08 y C04.</t>
        </is>
      </c>
      <c r="P83" s="6" t="n"/>
      <c r="Q83" s="5" t="inlineStr"/>
    </row>
    <row r="84" ht="33" customHeight="1">
      <c r="A84" s="4" t="inlineStr">
        <is>
          <t>V-05</t>
        </is>
      </c>
      <c r="B84" s="5" t="inlineStr">
        <is>
          <t>Visualización</t>
        </is>
      </c>
      <c r="C84" s="5" t="inlineStr">
        <is>
          <t>Cuando el mástil no cabe, el usuario se desplaza lateralmente.</t>
        </is>
      </c>
      <c r="D84" s="5" t="inlineStr">
        <is>
          <t>Alta</t>
        </is>
      </c>
      <c r="E84" s="5" t="inlineStr">
        <is>
          <t>Cliente · listado 14/09</t>
        </is>
      </c>
      <c r="F84" s="5" t="inlineStr">
        <is>
          <t>F1</t>
        </is>
      </c>
      <c r="G84" s="5" t="inlineStr">
        <is>
          <t>F1.1</t>
        </is>
      </c>
      <c r="H84" s="5" t="inlineStr">
        <is>
          <t>D</t>
        </is>
      </c>
      <c r="I84" s="5" t="inlineStr">
        <is>
          <t>Con el mástil más ancho que la pantalla se puede desplazar hasta el traste 24.</t>
        </is>
      </c>
      <c r="J84" s="5" t="inlineStr">
        <is>
          <t>Cumple</t>
        </is>
      </c>
      <c r="K84" s="5" t="inlineStr">
        <is>
          <t>0.1.0 **Validado en la Sesión 1** (20/10, `V-08`): A08.</t>
        </is>
      </c>
      <c r="L84" s="5" t="inlineStr">
        <is>
          <t>F1.1 #14</t>
        </is>
      </c>
      <c r="M84" s="5" t="inlineStr">
        <is>
          <t>Verificado</t>
        </is>
      </c>
      <c r="N84" s="5" t="inlineStr">
        <is>
          <t>Cliente</t>
        </is>
      </c>
      <c r="O84" s="5" t="inlineStr"/>
      <c r="P84" s="6" t="n"/>
      <c r="Q84" s="5" t="inlineStr"/>
    </row>
    <row r="85" ht="48" customHeight="1">
      <c r="A85" s="4" t="inlineStr">
        <is>
          <t>V-06</t>
        </is>
      </c>
      <c r="B85" s="5" t="inlineStr">
        <is>
          <t>Visualización</t>
        </is>
      </c>
      <c r="C85" s="5" t="inlineStr">
        <is>
          <t>El ancho de traste no cambia al desplazarse: el zoom fija el tamaño y el desplazamiento mueve la ventana.</t>
        </is>
      </c>
      <c r="D85" s="5" t="inlineStr">
        <is>
          <t>Alta</t>
        </is>
      </c>
      <c r="E85" s="5" t="inlineStr">
        <is>
          <t>Cliente · listado 14/09</t>
        </is>
      </c>
      <c r="F85" s="5" t="inlineStr">
        <is>
          <t>F1</t>
        </is>
      </c>
      <c r="G85" s="5" t="inlineStr">
        <is>
          <t>F1.1</t>
        </is>
      </c>
      <c r="H85" s="5" t="inlineStr">
        <is>
          <t>D</t>
        </is>
      </c>
      <c r="I85" s="5" t="inlineStr">
        <is>
          <t>Desplazarse no cambia el ancho de los trastes.</t>
        </is>
      </c>
      <c r="J85" s="5" t="inlineStr">
        <is>
          <t>Cumple</t>
        </is>
      </c>
      <c r="K85" s="5" t="inlineStr">
        <is>
          <t>0.1.0 **Validado en la Sesión 1** (20/10, `V-08`): A07.</t>
        </is>
      </c>
      <c r="L85" s="5" t="inlineStr">
        <is>
          <t>F1.1 #7</t>
        </is>
      </c>
      <c r="M85" s="5" t="inlineStr">
        <is>
          <t>Verificado</t>
        </is>
      </c>
      <c r="N85" s="5" t="inlineStr">
        <is>
          <t>Cliente</t>
        </is>
      </c>
      <c r="O85" s="5" t="inlineStr"/>
      <c r="P85" s="6" t="n"/>
      <c r="Q85" s="5" t="inlineStr"/>
    </row>
    <row r="86" ht="33" customHeight="1">
      <c r="A86" s="4" t="inlineStr">
        <is>
          <t>V-07</t>
        </is>
      </c>
      <c r="B86" s="5" t="inlineStr">
        <is>
          <t>Visualización</t>
        </is>
      </c>
      <c r="C86" s="5" t="inlineStr">
        <is>
          <t>El mástil se readapta al redimensionar la ventana.</t>
        </is>
      </c>
      <c r="D86" s="5" t="inlineStr">
        <is>
          <t>Alta</t>
        </is>
      </c>
      <c r="E86" s="5" t="inlineStr">
        <is>
          <t>Cliente · listado 14/09</t>
        </is>
      </c>
      <c r="F86" s="5" t="inlineStr">
        <is>
          <t>F1</t>
        </is>
      </c>
      <c r="G86" s="5" t="inlineStr">
        <is>
          <t>F1.1</t>
        </is>
      </c>
      <c r="H86" s="5" t="inlineStr">
        <is>
          <t>D</t>
        </is>
      </c>
      <c r="I86" s="5" t="inlineStr">
        <is>
          <t>Al redimensionar la ventana el mástil se reajusta sin perder el tramo visible.</t>
        </is>
      </c>
      <c r="J86" s="5" t="inlineStr">
        <is>
          <t>Cumple</t>
        </is>
      </c>
      <c r="K86" s="5" t="inlineStr">
        <is>
          <t>0.1.0 **Validado en la Sesión 1** (20/10, `V-08`): A08.</t>
        </is>
      </c>
      <c r="L86" s="5" t="inlineStr">
        <is>
          <t>F1.1 #7</t>
        </is>
      </c>
      <c r="M86" s="5" t="inlineStr">
        <is>
          <t>Verificado</t>
        </is>
      </c>
      <c r="N86" s="5" t="inlineStr">
        <is>
          <t>Cliente</t>
        </is>
      </c>
      <c r="O86" s="5" t="inlineStr"/>
      <c r="P86" s="6" t="n"/>
      <c r="Q86" s="5" t="inlineStr"/>
    </row>
    <row r="87" ht="33" customHeight="1">
      <c r="A87" s="4" t="inlineStr">
        <is>
          <t>V-08</t>
        </is>
      </c>
      <c r="B87" s="5" t="inlineStr">
        <is>
          <t>Visualización</t>
        </is>
      </c>
      <c r="C87" s="5" t="inlineStr">
        <is>
          <t>El nivel de zoom persiste entre sesiones.</t>
        </is>
      </c>
      <c r="D87" s="5" t="inlineStr">
        <is>
          <t>Baja</t>
        </is>
      </c>
      <c r="E87" s="5" t="inlineStr">
        <is>
          <t>Cliente · listado 14/09</t>
        </is>
      </c>
      <c r="F87" s="5" t="inlineStr">
        <is>
          <t>F1</t>
        </is>
      </c>
      <c r="G87" s="5" t="inlineStr">
        <is>
          <t>F1.1</t>
        </is>
      </c>
      <c r="H87" s="5" t="inlineStr">
        <is>
          <t>D</t>
        </is>
      </c>
      <c r="I87" s="5" t="inlineStr">
        <is>
          <t>El zoom se mantiene tras recargar y tras girar el móvil.</t>
        </is>
      </c>
      <c r="J87" s="5" t="inlineStr">
        <is>
          <t>Cumple</t>
        </is>
      </c>
      <c r="K87" s="5" t="inlineStr">
        <is>
          <t>0.1.0</t>
        </is>
      </c>
      <c r="L87" s="5" t="inlineStr">
        <is>
          <t>F1.1 #13</t>
        </is>
      </c>
      <c r="M87" s="5" t="inlineStr">
        <is>
          <t>Pendiente</t>
        </is>
      </c>
      <c r="N87" s="5" t="inlineStr">
        <is>
          <t>Cliente</t>
        </is>
      </c>
      <c r="O87" s="5" t="inlineStr">
        <is>
          <t>Desde 0.1.1 girar el móvil ya no pisa el zoom elegido.</t>
        </is>
      </c>
      <c r="P87" s="6" t="n"/>
      <c r="Q87" s="5" t="inlineStr"/>
    </row>
    <row r="88" ht="63" customHeight="1">
      <c r="A88" s="4" t="inlineStr">
        <is>
          <t>V-09</t>
        </is>
      </c>
      <c r="B88" s="5" t="inlineStr">
        <is>
          <t>Visualización</t>
        </is>
      </c>
      <c r="C88" s="5" t="inlineStr">
        <is>
          <t>Al ocultar la numeración se puede conservar una referencia de tramo: el modo «Guía» deja solo los números de los trastes con marca.</t>
        </is>
      </c>
      <c r="D88" s="5" t="inlineStr">
        <is>
          <t>Media</t>
        </is>
      </c>
      <c r="E88" s="5" t="inlineStr">
        <is>
          <t>AR-01</t>
        </is>
      </c>
      <c r="F88" s="5" t="inlineStr">
        <is>
          <t>F1</t>
        </is>
      </c>
      <c r="G88" s="5" t="inlineStr">
        <is>
          <t>F1.3</t>
        </is>
      </c>
      <c r="H88" s="5" t="inlineStr">
        <is>
          <t>T</t>
        </is>
      </c>
      <c r="I88" s="5" t="inlineStr">
        <is>
          <t>El modo Guía mantiene visibles solo los números de los trastes con marca.</t>
        </is>
      </c>
      <c r="J88" s="5" t="inlineStr">
        <is>
          <t>Cumple</t>
        </is>
      </c>
      <c r="K88" s="5" t="inlineStr">
        <is>
          <t>0.1.2</t>
        </is>
      </c>
      <c r="L88" s="5" t="inlineStr">
        <is>
          <t>Banco (node --test) · F1.1 #11</t>
        </is>
      </c>
      <c r="M88" s="5" t="inlineStr">
        <is>
          <t>Verificado</t>
        </is>
      </c>
      <c r="N88" s="5" t="inlineStr">
        <is>
          <t>Banco automático + auditor técnico</t>
        </is>
      </c>
      <c r="O88" s="5" t="inlineStr">
        <is>
          <t>Sin números, los trastes 5 y 17 llevan la misma marca y se confunden. Se descartó el minimapa por desproporcionado. Validado en la Sesión 1 (20/10, V-08): A11.</t>
        </is>
      </c>
      <c r="P88" s="6" t="n"/>
      <c r="Q88" s="5" t="inlineStr"/>
    </row>
    <row r="89" ht="93" customHeight="1">
      <c r="A89" s="4" t="inlineStr">
        <is>
          <t>C-01</t>
        </is>
      </c>
      <c r="B89" s="5" t="inlineStr">
        <is>
          <t>Configuración y navegación</t>
        </is>
      </c>
      <c r="C89" s="5" t="inlineStr">
        <is>
          <t>Menú de configuración accesible desde cualquier pantalla.</t>
        </is>
      </c>
      <c r="D89" s="5" t="inlineStr">
        <is>
          <t>Alta</t>
        </is>
      </c>
      <c r="E89" s="5" t="inlineStr">
        <is>
          <t>Cliente · listado 14/09</t>
        </is>
      </c>
      <c r="F89" s="5" t="inlineStr">
        <is>
          <t>F1</t>
        </is>
      </c>
      <c r="G89" s="5" t="inlineStr">
        <is>
          <t>F1.1</t>
        </is>
      </c>
      <c r="H89" s="5" t="inlineStr">
        <is>
          <t>D</t>
        </is>
      </c>
      <c r="I89" s="5" t="inlineStr">
        <is>
          <t>El botón de Ajustes abre el panel desde cualquier pantalla y Escape lo cierra.</t>
        </is>
      </c>
      <c r="J89" s="5" t="inlineStr">
        <is>
          <t>Cumple</t>
        </is>
      </c>
      <c r="K89" s="5" t="inlineStr">
        <is>
          <t>0.1.0</t>
        </is>
      </c>
      <c r="L89" s="5" t="inlineStr">
        <is>
          <t>F1.1 #14</t>
        </is>
      </c>
      <c r="M89" s="5" t="inlineStr">
        <is>
          <t>Verificado</t>
        </is>
      </c>
      <c r="N89" s="5" t="inlineStr">
        <is>
          <t>Cliente</t>
        </is>
      </c>
      <c r="O89" s="5" t="inlineStr">
        <is>
          <t>Hoja que sube desde abajo en vertical; panel lateral en horizontal y en pantallas amplias, con un segundo botón en el raíl (0.3.0). Es un diálogo: mientras está abierto, el resto de la página no responde (AT-04). Validado en la Sesión 1 (20/10, V-08): A19 y C05.</t>
        </is>
      </c>
      <c r="P89" s="6" t="n"/>
      <c r="Q89" s="5" t="inlineStr"/>
    </row>
    <row r="90" ht="78" customHeight="1">
      <c r="A90" s="4" t="inlineStr">
        <is>
          <t>C-02</t>
        </is>
      </c>
      <c r="B90" s="5" t="inlineStr">
        <is>
          <t>Configuración y navegación</t>
        </is>
      </c>
      <c r="C90" s="5" t="inlineStr">
        <is>
          <t>El menú contiene nomenclatura, pentagrama, timbre, numeración de trastes (tres modos), ver todas las notas, señalar iguales y afinación activa, y muestra la versión de la app.</t>
        </is>
      </c>
      <c r="D90" s="5" t="inlineStr">
        <is>
          <t>Alta</t>
        </is>
      </c>
      <c r="E90" s="5" t="inlineStr">
        <is>
          <t>Cliente · listado 14/09</t>
        </is>
      </c>
      <c r="F90" s="5" t="inlineStr">
        <is>
          <t>F1</t>
        </is>
      </c>
      <c r="G90" s="5" t="inlineStr">
        <is>
          <t>F1.1</t>
        </is>
      </c>
      <c r="H90" s="5" t="inlineStr">
        <is>
          <t>I</t>
        </is>
      </c>
      <c r="I90" s="5" t="inlineStr">
        <is>
          <t>El panel contiene todos los ajustes listados y la versión de la app.</t>
        </is>
      </c>
      <c r="J90" s="5" t="inlineStr">
        <is>
          <t>Cumple</t>
        </is>
      </c>
      <c r="K90" s="5" t="inlineStr">
        <is>
          <t>0.1.0</t>
        </is>
      </c>
      <c r="L90" s="5" t="inlineStr">
        <is>
          <t>F1.1 #12</t>
        </is>
      </c>
      <c r="M90" s="5" t="inlineStr">
        <is>
          <t>Pendiente</t>
        </is>
      </c>
      <c r="N90" s="5" t="inlineStr">
        <is>
          <t>Auditor de requisitos</t>
        </is>
      </c>
      <c r="O90" s="5" t="inlineStr">
        <is>
          <t>Ampliado en 0.1.2 con la numeración en tres modos y la versión (G-10). En F6.4 se añade el grupo «Acerca de», con los créditos (G-06) y la privacidad (G-11) (interfaz.md v1.0, aprobada el 20/10).</t>
        </is>
      </c>
      <c r="P90" s="6" t="n"/>
      <c r="Q90" s="5" t="inlineStr"/>
    </row>
    <row r="91" ht="78" customHeight="1">
      <c r="A91" s="4" t="inlineStr">
        <is>
          <t>C-03</t>
        </is>
      </c>
      <c r="B91" s="5" t="inlineStr">
        <is>
          <t>Configuración y navegación</t>
        </is>
      </c>
      <c r="C91" s="5" t="inlineStr">
        <is>
          <t>Los ajustes frecuentes tienen acceso rápido sin abrir el menú.</t>
        </is>
      </c>
      <c r="D91" s="5" t="inlineStr">
        <is>
          <t>Alta</t>
        </is>
      </c>
      <c r="E91" s="5" t="inlineStr">
        <is>
          <t>Cliente · listado 14/09</t>
        </is>
      </c>
      <c r="F91" s="5" t="inlineStr">
        <is>
          <t>F1</t>
        </is>
      </c>
      <c r="G91" s="5" t="inlineStr">
        <is>
          <t>F1.1</t>
        </is>
      </c>
      <c r="H91" s="5" t="inlineStr">
        <is>
          <t>D</t>
        </is>
      </c>
      <c r="I91" s="5" t="inlineStr">
        <is>
          <t>Nomenclatura, pentagrama y pistas tienen chips de acceso rápido.</t>
        </is>
      </c>
      <c r="J91" s="5" t="inlineStr">
        <is>
          <t>Cumple</t>
        </is>
      </c>
      <c r="K91" s="5" t="inlineStr">
        <is>
          <t>0.1.0</t>
        </is>
      </c>
      <c r="L91" s="5" t="inlineStr">
        <is>
          <t>F1.1 #14</t>
        </is>
      </c>
      <c r="M91" s="5" t="inlineStr">
        <is>
          <t>Pendiente</t>
        </is>
      </c>
      <c r="N91" s="5" t="inlineStr">
        <is>
          <t>Cliente</t>
        </is>
      </c>
      <c r="O91" s="5" t="inlineStr">
        <is>
          <t>Nomenclatura y pentagrama en chips bajo la cabecera, o en el panel en horizontal, donde el pentagrama se rotula con la clave de sol; las dos pistas del juego, en la tarjeta del reto (0.3.0).</t>
        </is>
      </c>
      <c r="P91" s="6" t="n"/>
      <c r="Q91" s="5" t="inlineStr"/>
    </row>
    <row r="92" ht="93" customHeight="1">
      <c r="A92" s="4" t="inlineStr">
        <is>
          <t>C-04</t>
        </is>
      </c>
      <c r="B92" s="5" t="inlineStr">
        <is>
          <t>Configuración y navegación</t>
        </is>
      </c>
      <c r="C92" s="5" t="inlineStr">
        <is>
          <t>Navegación principal clara entre las áreas de la app.</t>
        </is>
      </c>
      <c r="D92" s="5" t="inlineStr">
        <is>
          <t>Alta</t>
        </is>
      </c>
      <c r="E92" s="5" t="inlineStr">
        <is>
          <t>Cliente · 20/10 (interfaz.md v1.0)</t>
        </is>
      </c>
      <c r="F92" s="5" t="inlineStr">
        <is>
          <t>F1</t>
        </is>
      </c>
      <c r="G92" s="5" t="inlineStr">
        <is>
          <t>F1.1</t>
        </is>
      </c>
      <c r="H92" s="5" t="inlineStr">
        <is>
          <t>D</t>
        </is>
      </c>
      <c r="I92" s="5" t="inlineStr">
        <is>
          <t>La navegación (barra inferior, raíl o pestañas en la cabecera, según la disposición) lleva a cada área con un toque.</t>
        </is>
      </c>
      <c r="J92" s="5" t="inlineStr">
        <is>
          <t>Cumple</t>
        </is>
      </c>
      <c r="K92" s="5" t="inlineStr">
        <is>
          <t>0.1.0</t>
        </is>
      </c>
      <c r="L92" s="5" t="inlineStr">
        <is>
          <t>F1.1 #14</t>
        </is>
      </c>
      <c r="M92" s="5" t="inlineStr">
        <is>
          <t>Verificado</t>
        </is>
      </c>
      <c r="N92" s="5" t="inlineStr">
        <is>
          <t>Cliente</t>
        </is>
      </c>
      <c r="O92" s="5" t="inlineStr">
        <is>
          <t>Barra inferior con cuatro destinos en vertical, raíl a la izquierda en horizontal y pestañas en la cabecera en pantallas amplias (0.3.0). En pantallas bajas la barra nunca se sale (AR-05). Validado en la Sesión 1 (20/10, V-08): A19.</t>
        </is>
      </c>
      <c r="P92" s="6" t="n"/>
      <c r="Q92" s="5" t="inlineStr"/>
    </row>
    <row r="93" ht="48" customHeight="1">
      <c r="A93" s="4" t="inlineStr">
        <is>
          <t>C-05</t>
        </is>
      </c>
      <c r="B93" s="5" t="inlineStr">
        <is>
          <t>Configuración y navegación</t>
        </is>
      </c>
      <c r="C93" s="5" t="inlineStr">
        <is>
          <t>Todos los ajustes persisten entre sesiones.</t>
        </is>
      </c>
      <c r="D93" s="5" t="inlineStr">
        <is>
          <t>Media</t>
        </is>
      </c>
      <c r="E93" s="5" t="inlineStr">
        <is>
          <t>Cliente · listado 14/09</t>
        </is>
      </c>
      <c r="F93" s="5" t="inlineStr">
        <is>
          <t>F1</t>
        </is>
      </c>
      <c r="G93" s="5" t="inlineStr">
        <is>
          <t>F1.1</t>
        </is>
      </c>
      <c r="H93" s="5" t="inlineStr">
        <is>
          <t>T</t>
        </is>
      </c>
      <c r="I93" s="5" t="inlineStr">
        <is>
          <t>Todos los ajustes persisten tras recargar, y unos ajustes corruptos o antiguos no rompen la app.</t>
        </is>
      </c>
      <c r="J93" s="5" t="inlineStr">
        <is>
          <t>Cumple</t>
        </is>
      </c>
      <c r="K93" s="5" t="inlineStr">
        <is>
          <t>0.1.0</t>
        </is>
      </c>
      <c r="L93" s="5" t="inlineStr">
        <is>
          <t>Banco (node --test): migración · F1.1 #13</t>
        </is>
      </c>
      <c r="M93" s="5" t="inlineStr">
        <is>
          <t>Verificado</t>
        </is>
      </c>
      <c r="N93" s="5" t="inlineStr">
        <is>
          <t>Banco automático + auditor técnico</t>
        </is>
      </c>
      <c r="O93" s="5" t="inlineStr">
        <is>
          <t>Un único objeto de estado, validado campo a campo al leerlo (0.1.1). Validado en la Sesión 1 (20/10, V-08): A14 y A15.</t>
        </is>
      </c>
      <c r="P93" s="6" t="n"/>
      <c r="Q93" s="5" t="inlineStr"/>
    </row>
    <row r="94" ht="93" customHeight="1">
      <c r="A94" s="4" t="inlineStr">
        <is>
          <t>C-06</t>
        </is>
      </c>
      <c r="B94" s="5" t="inlineStr">
        <is>
          <t>Configuración y navegación</t>
        </is>
      </c>
      <c r="C94" s="5" t="inlineStr">
        <is>
          <t>Especificación detallada de la interfaz: estructura de menús, jerarquía de controles y flujos de navegación.</t>
        </is>
      </c>
      <c r="D94" s="5" t="inlineStr">
        <is>
          <t>Alta</t>
        </is>
      </c>
      <c r="E94" s="5" t="inlineStr">
        <is>
          <t>Cliente · listado 14/09</t>
        </is>
      </c>
      <c r="F94" s="5" t="inlineStr">
        <is>
          <t>F3</t>
        </is>
      </c>
      <c r="G94" s="5" t="inlineStr">
        <is>
          <t>F3.1</t>
        </is>
      </c>
      <c r="H94" s="5" t="inlineStr">
        <is>
          <t>I</t>
        </is>
      </c>
      <c r="I94" s="5" t="inlineStr">
        <is>
          <t>interfaz.md aprobado por el cliente y revisado por el auditor de requisitos.</t>
        </is>
      </c>
      <c r="J94" s="5" t="inlineStr">
        <is>
          <t>Cumple</t>
        </is>
      </c>
      <c r="K94" s="5" t="inlineStr">
        <is>
          <t>0.2.3</t>
        </is>
      </c>
      <c r="L94" s="5" t="inlineStr">
        <is>
          <t>interfaz.md v1.0 · AR-04 · aprobación del cliente el 20/10</t>
        </is>
      </c>
      <c r="M94" s="5" t="inlineStr">
        <is>
          <t>Verificado</t>
        </is>
      </c>
      <c r="N94" s="5" t="inlineStr">
        <is>
          <t>Auditor de requisitos</t>
        </is>
      </c>
      <c r="O94" s="5" t="inlineStr">
        <is>
          <t>docs/interfaz.md v1.0, aprobada por ti el 20/10 tras la auditoría AR-04 (10 hallazgos resueltos). Bocetos al tamaño real de cada pantalla en docs/interfaz/, comprobados por herramientas/capturar-wireframes.js. Los cambios posteriores suben su versión.</t>
        </is>
      </c>
      <c r="P94" s="6" t="n"/>
      <c r="Q94" s="5" t="inlineStr"/>
    </row>
    <row r="95" ht="120" customHeight="1">
      <c r="A95" s="4" t="inlineStr">
        <is>
          <t>C-07</t>
        </is>
      </c>
      <c r="B95" s="5" t="inlineStr">
        <is>
          <t>Configuración y navegación</t>
        </is>
      </c>
      <c r="C95" s="5" t="inlineStr">
        <is>
          <t>Botón «atrás» del sistema: mientras haya un paso anterior en la sesión, el botón o gesto «atrás» cierra Ajustes o vuelve al área anterior; desde la primera área actúa el sistema. Al abrir la app se entra en Libre.</t>
        </is>
      </c>
      <c r="D95" s="5" t="inlineStr">
        <is>
          <t>Media</t>
        </is>
      </c>
      <c r="E95" s="5" t="inlineStr">
        <is>
          <t>Cliente · 20/10 (interfaz.md v1.0)</t>
        </is>
      </c>
      <c r="F95" s="5" t="inlineStr">
        <is>
          <t>F3</t>
        </is>
      </c>
      <c r="G95" s="5" t="inlineStr">
        <is>
          <t>F3.2</t>
        </is>
      </c>
      <c r="H95" s="5" t="inlineStr">
        <is>
          <t>D</t>
        </is>
      </c>
      <c r="I95" s="5" t="inlineStr">
        <is>
          <t>Con un paso anterior en la sesión, «atrás» cierra Ajustes o vuelve al área anterior; desde la primera área actúa el sistema; al abrir o recargar se entra en Libre. Prueba manual en Windows y en el simulador de Android de Chrome.</t>
        </is>
      </c>
      <c r="J95" s="5" t="inlineStr">
        <is>
          <t>Cumple</t>
        </is>
      </c>
      <c r="K95" s="5" t="inlineStr">
        <is>
          <t>0.3.0</t>
        </is>
      </c>
      <c r="L95" s="5" t="inlineStr">
        <is>
          <t>Banco (node --test): historial simulado con popstate (3 pruebas)</t>
        </is>
      </c>
      <c r="M95" s="5" t="inlineStr">
        <is>
          <t>Verificado</t>
        </is>
      </c>
      <c r="N95" s="5" t="inlineStr">
        <is>
          <t>Cliente</t>
        </is>
      </c>
      <c r="O95"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V-08): A17.</t>
        </is>
      </c>
      <c r="P95" s="6" t="n"/>
      <c r="Q95" s="5" t="inlineStr"/>
    </row>
    <row r="96" ht="93" customHeight="1">
      <c r="A96" s="4" t="inlineStr">
        <is>
          <t>C-08</t>
        </is>
      </c>
      <c r="B96" s="5" t="inlineStr">
        <is>
          <t>Configuración y navegación</t>
        </is>
      </c>
      <c r="C96" s="5" t="inlineStr">
        <is>
          <t>Menú Personalización dentro de Ajustes: estilos de nota en el mástil (círculo de color o solo el nombre, más grande o en negrita), estilo del traste y del mástil, interior claro para «Ver todas las notas» y temas de color de la app.</t>
        </is>
      </c>
      <c r="D96" s="5" t="inlineStr">
        <is>
          <t>Media</t>
        </is>
      </c>
      <c r="E96" s="5" t="inlineStr">
        <is>
          <t>Cliente · listado 14/09</t>
        </is>
      </c>
      <c r="F96" s="5" t="inlineStr">
        <is>
          <t>Posterior</t>
        </is>
      </c>
      <c r="G96" s="5" t="inlineStr">
        <is>
          <t>Posterior</t>
        </is>
      </c>
      <c r="H96" s="5" t="inlineStr">
        <is>
          <t>N/A</t>
        </is>
      </c>
      <c r="I96" s="5" t="inlineStr">
        <is>
          <t>Fuera del alcance actual.</t>
        </is>
      </c>
      <c r="J96" s="5" t="inlineStr">
        <is>
          <t>No aplica</t>
        </is>
      </c>
      <c r="K96" s="5" t="inlineStr">
        <is>
          <t>—</t>
        </is>
      </c>
      <c r="L96" s="5" t="inlineStr">
        <is>
          <t>—</t>
        </is>
      </c>
      <c r="M96" s="5" t="inlineStr">
        <is>
          <t>No aplica</t>
        </is>
      </c>
      <c r="N96" s="5" t="inlineStr">
        <is>
          <t>—</t>
        </is>
      </c>
      <c r="O96" s="5" t="inlineStr">
        <is>
          <t>Tus comentarios de la Sesión 1 (A10, C06 y E06), para una actualización posterior. La paleta por nota de G-05 se mantiene como punto de partida.</t>
        </is>
      </c>
      <c r="P96" s="6" t="n"/>
      <c r="Q96" s="5" t="inlineStr">
        <is>
          <t>Nuevo</t>
        </is>
      </c>
    </row>
    <row r="97" ht="78" customHeight="1">
      <c r="A97" s="4" t="inlineStr">
        <is>
          <t>X-01</t>
        </is>
      </c>
      <c r="B97" s="5" t="inlineStr">
        <is>
          <t>Respaldo y publicación</t>
        </is>
      </c>
      <c r="C97" s="5" t="inlineStr">
        <is>
          <t>El código y la documentación están respaldados en el repositorio remoto (GitHub). Respaldar no es publicar.</t>
        </is>
      </c>
      <c r="D97" s="5" t="inlineStr">
        <is>
          <t>Alta</t>
        </is>
      </c>
      <c r="E97" s="5" t="inlineStr">
        <is>
          <t>Desarrollo · v1.1</t>
        </is>
      </c>
      <c r="F97" s="5" t="inlineStr">
        <is>
          <t>F1</t>
        </is>
      </c>
      <c r="G97" s="5" t="inlineStr">
        <is>
          <t>F1.2 · F1.4</t>
        </is>
      </c>
      <c r="H97" s="5" t="inlineStr">
        <is>
          <t>I</t>
        </is>
      </c>
      <c r="I97" s="5" t="inlineStr">
        <is>
          <t>GitHub muestra la última versión en main, entrada por pull request aprobado, y la etiqueta de cierre de fase.</t>
        </is>
      </c>
      <c r="J97" s="5" t="inlineStr">
        <is>
          <t>Cumple</t>
        </is>
      </c>
      <c r="K97" s="5" t="inlineStr">
        <is>
          <t>0.1.4</t>
        </is>
      </c>
      <c r="L97" s="5" t="inlineStr">
        <is>
          <t>PR #1 a #5 fusionados · etiqueta v0.1.5</t>
        </is>
      </c>
      <c r="M97" s="5" t="inlineStr">
        <is>
          <t>Verificado parcialmente</t>
        </is>
      </c>
      <c r="N97" s="5" t="inlineStr">
        <is>
          <t>Auditor de requisitos</t>
        </is>
      </c>
      <c r="O97" s="5" t="inlineStr">
        <is>
          <t>Desde el 15/10 todo el proyecto está en pdigue/guitarra; cada versión entra por pull request aprobado (del #1 al #5) y F1 se cerró con la etiqueta v0.1.5. El repositorio es público.</t>
        </is>
      </c>
      <c r="P97" s="6" t="n"/>
      <c r="Q97" s="5" t="inlineStr"/>
    </row>
    <row r="98" ht="120" customHeight="1">
      <c r="A98" s="4" t="inlineStr">
        <is>
          <t>X-02</t>
        </is>
      </c>
      <c r="B98" s="5" t="inlineStr">
        <is>
          <t>Respaldo y publicación</t>
        </is>
      </c>
      <c r="C98" s="5" t="inlineStr">
        <is>
          <t>La app está publicada en una URL pública (GitHub Pages).</t>
        </is>
      </c>
      <c r="D98" s="5" t="inlineStr">
        <is>
          <t>Alta</t>
        </is>
      </c>
      <c r="E98" s="5" t="inlineStr">
        <is>
          <t>Desarrollo · v1.1</t>
        </is>
      </c>
      <c r="F98" s="5" t="inlineStr">
        <is>
          <t>F7</t>
        </is>
      </c>
      <c r="G98" s="5" t="inlineStr">
        <is>
          <t>F7.1</t>
        </is>
      </c>
      <c r="H98" s="5" t="inlineStr">
        <is>
          <t>D</t>
        </is>
      </c>
      <c r="I98" s="5" t="inlineStr">
        <is>
          <t>La URL pública carga la app desde un dispositivo ajeno al proyecto.</t>
        </is>
      </c>
      <c r="J98" s="5" t="inlineStr">
        <is>
          <t>No cumple</t>
        </is>
      </c>
      <c r="K98" s="5" t="inlineStr">
        <is>
          <t>—</t>
        </is>
      </c>
      <c r="L98" s="5" t="inlineStr">
        <is>
          <t>—</t>
        </is>
      </c>
      <c r="M98" s="5" t="inlineStr">
        <is>
          <t>Pendiente</t>
        </is>
      </c>
      <c r="N98" s="5" t="inlineStr">
        <is>
          <t>Cliente</t>
        </is>
      </c>
      <c r="O98"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8" s="6" t="n"/>
      <c r="Q98" s="5" t="inlineStr"/>
    </row>
    <row r="99" ht="33" customHeight="1">
      <c r="A99" s="4" t="inlineStr">
        <is>
          <t>X-03</t>
        </is>
      </c>
      <c r="B99" s="5" t="inlineStr">
        <is>
          <t>Respaldo y publicación</t>
        </is>
      </c>
      <c r="C99" s="5" t="inlineStr">
        <is>
          <t>La app está verificada en móviles reales, instalada como icono desde la web publicada.</t>
        </is>
      </c>
      <c r="D99" s="5" t="inlineStr">
        <is>
          <t>Alta</t>
        </is>
      </c>
      <c r="E99" s="5" t="inlineStr">
        <is>
          <t>Desarrollo · v1.1</t>
        </is>
      </c>
      <c r="F99" s="5" t="inlineStr">
        <is>
          <t>F7</t>
        </is>
      </c>
      <c r="G99" s="5" t="inlineStr">
        <is>
          <t>F7.2</t>
        </is>
      </c>
      <c r="H99" s="5" t="inlineStr">
        <is>
          <t>D</t>
        </is>
      </c>
      <c r="I99" s="5" t="inlineStr">
        <is>
          <t>La app instalada desde la web funciona en un Android, un iPhone y un Windows reales.</t>
        </is>
      </c>
      <c r="J99" s="5" t="inlineStr">
        <is>
          <t>No cumple</t>
        </is>
      </c>
      <c r="K99" s="5" t="inlineStr">
        <is>
          <t>—</t>
        </is>
      </c>
      <c r="L99" s="5" t="inlineStr">
        <is>
          <t>—</t>
        </is>
      </c>
      <c r="M99" s="5" t="inlineStr">
        <is>
          <t>Pendiente</t>
        </is>
      </c>
      <c r="N99" s="5" t="inlineStr">
        <is>
          <t>Cliente</t>
        </is>
      </c>
      <c r="O99" s="5" t="inlineStr">
        <is>
          <t>Cierra G-04 y PL-01 a PL-03 en su modo web.</t>
        </is>
      </c>
      <c r="P99" s="6" t="n"/>
      <c r="Q99" s="5" t="inlineStr"/>
    </row>
  </sheetData>
  <autoFilter ref="A4:Q99"/>
  <conditionalFormatting sqref="J5:J99">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9">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9" showDropDown="0" showInputMessage="0" showErrorMessage="0" allowBlank="0" errorTitle="Valor no válido" error="Elige un valor de la lista. Están descritos en la hoja Leyenda." type="list">
      <formula1>"Cumple,Cumple parcialmente,No cumple,No aplica"</formula1>
    </dataValidation>
    <dataValidation sqref="M5:M99" showDropDown="0" showInputMessage="0" showErrorMessage="0" allowBlank="0" errorTitle="Valor no válido" error="Elige un valor de la lista. Están descritos en la hoja Leyenda." type="list">
      <formula1>"Verificado,Verificado parcialmente,Pendiente,No aplica"</formula1>
    </dataValidation>
    <dataValidation sqref="H5:H99"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COUNTIF(Matriz!$F$5:$F$99,"*F1*")</f>
        <v/>
      </c>
      <c r="C5" s="7">
        <f>COUNTIFS(Matriz!$F$5:$F$99,"*F1*",Matriz!$J$5:$J$99,"Cumple")</f>
        <v/>
      </c>
      <c r="D5" s="7">
        <f>COUNTIFS(Matriz!$F$5:$F$99,"*F1*",Matriz!$J$5:$J$99,"Cumple parcialmente")</f>
        <v/>
      </c>
      <c r="E5" s="7">
        <f>COUNTIFS(Matriz!$F$5:$F$99,"*F1*",Matriz!$J$5:$J$99,"No cumple")</f>
        <v/>
      </c>
      <c r="F5" s="7">
        <f>COUNTIFS(Matriz!$F$5:$F$99,"*F1*",Matriz!$J$5:$J$99,"No aplica")</f>
        <v/>
      </c>
      <c r="G5" s="8">
        <f>IFERROR(C5/B5,0)</f>
        <v/>
      </c>
      <c r="H5" s="7">
        <f>COUNTIFS(Matriz!$F$5:$F$99,"*F1*",Matriz!$M$5:$M$99,"Verificado")</f>
        <v/>
      </c>
      <c r="I5" s="7">
        <f>COUNTIFS(Matriz!$F$5:$F$99,"*F1*",Matriz!$M$5:$M$99,"Verificado parcialmente")</f>
        <v/>
      </c>
    </row>
    <row r="6">
      <c r="A6" s="7" t="inlineStr">
        <is>
          <t>F2 · Sonido propio y archivo autónomo</t>
        </is>
      </c>
      <c r="B6" s="7">
        <f>COUNTIF(Matriz!$F$5:$F$99,"*F2*")</f>
        <v/>
      </c>
      <c r="C6" s="7">
        <f>COUNTIFS(Matriz!$F$5:$F$99,"*F2*",Matriz!$J$5:$J$99,"Cumple")</f>
        <v/>
      </c>
      <c r="D6" s="7">
        <f>COUNTIFS(Matriz!$F$5:$F$99,"*F2*",Matriz!$J$5:$J$99,"Cumple parcialmente")</f>
        <v/>
      </c>
      <c r="E6" s="7">
        <f>COUNTIFS(Matriz!$F$5:$F$99,"*F2*",Matriz!$J$5:$J$99,"No cumple")</f>
        <v/>
      </c>
      <c r="F6" s="7">
        <f>COUNTIFS(Matriz!$F$5:$F$99,"*F2*",Matriz!$J$5:$J$99,"No aplica")</f>
        <v/>
      </c>
      <c r="G6" s="8">
        <f>IFERROR(C6/B6,0)</f>
        <v/>
      </c>
      <c r="H6" s="7">
        <f>COUNTIFS(Matriz!$F$5:$F$99,"*F2*",Matriz!$M$5:$M$99,"Verificado")</f>
        <v/>
      </c>
      <c r="I6" s="7">
        <f>COUNTIFS(Matriz!$F$5:$F$99,"*F2*",Matriz!$M$5:$M$99,"Verificado parcialmente")</f>
        <v/>
      </c>
    </row>
    <row r="7">
      <c r="A7" s="7" t="inlineStr">
        <is>
          <t>F3 · Interfaz y adaptación</t>
        </is>
      </c>
      <c r="B7" s="7">
        <f>COUNTIF(Matriz!$F$5:$F$99,"*F3*")</f>
        <v/>
      </c>
      <c r="C7" s="7">
        <f>COUNTIFS(Matriz!$F$5:$F$99,"*F3*",Matriz!$J$5:$J$99,"Cumple")</f>
        <v/>
      </c>
      <c r="D7" s="7">
        <f>COUNTIFS(Matriz!$F$5:$F$99,"*F3*",Matriz!$J$5:$J$99,"Cumple parcialmente")</f>
        <v/>
      </c>
      <c r="E7" s="7">
        <f>COUNTIFS(Matriz!$F$5:$F$99,"*F3*",Matriz!$J$5:$J$99,"No cumple")</f>
        <v/>
      </c>
      <c r="F7" s="7">
        <f>COUNTIFS(Matriz!$F$5:$F$99,"*F3*",Matriz!$J$5:$J$99,"No aplica")</f>
        <v/>
      </c>
      <c r="G7" s="8">
        <f>IFERROR(C7/B7,0)</f>
        <v/>
      </c>
      <c r="H7" s="7">
        <f>COUNTIFS(Matriz!$F$5:$F$99,"*F3*",Matriz!$M$5:$M$99,"Verificado")</f>
        <v/>
      </c>
      <c r="I7" s="7">
        <f>COUNTIFS(Matriz!$F$5:$F$99,"*F3*",Matriz!$M$5:$M$99,"Verificado parcialmente")</f>
        <v/>
      </c>
    </row>
    <row r="8">
      <c r="A8" s="7" t="inlineStr">
        <is>
          <t>F4 · Afinador por micrófono</t>
        </is>
      </c>
      <c r="B8" s="7">
        <f>COUNTIF(Matriz!$F$5:$F$99,"*F4*")</f>
        <v/>
      </c>
      <c r="C8" s="7">
        <f>COUNTIFS(Matriz!$F$5:$F$99,"*F4*",Matriz!$J$5:$J$99,"Cumple")</f>
        <v/>
      </c>
      <c r="D8" s="7">
        <f>COUNTIFS(Matriz!$F$5:$F$99,"*F4*",Matriz!$J$5:$J$99,"Cumple parcialmente")</f>
        <v/>
      </c>
      <c r="E8" s="7">
        <f>COUNTIFS(Matriz!$F$5:$F$99,"*F4*",Matriz!$J$5:$J$99,"No cumple")</f>
        <v/>
      </c>
      <c r="F8" s="7">
        <f>COUNTIFS(Matriz!$F$5:$F$99,"*F4*",Matriz!$J$5:$J$99,"No aplica")</f>
        <v/>
      </c>
      <c r="G8" s="8">
        <f>IFERROR(C8/B8,0)</f>
        <v/>
      </c>
      <c r="H8" s="7">
        <f>COUNTIFS(Matriz!$F$5:$F$99,"*F4*",Matriz!$M$5:$M$99,"Verificado")</f>
        <v/>
      </c>
      <c r="I8" s="7">
        <f>COUNTIFS(Matriz!$F$5:$F$99,"*F4*",Matriz!$M$5:$M$99,"Verificado parcialmente")</f>
        <v/>
      </c>
    </row>
    <row r="9">
      <c r="A9" s="7" t="inlineStr">
        <is>
          <t>F5 · Escalas</t>
        </is>
      </c>
      <c r="B9" s="7">
        <f>COUNTIF(Matriz!$F$5:$F$99,"*F5*")</f>
        <v/>
      </c>
      <c r="C9" s="7">
        <f>COUNTIFS(Matriz!$F$5:$F$99,"*F5*",Matriz!$J$5:$J$99,"Cumple")</f>
        <v/>
      </c>
      <c r="D9" s="7">
        <f>COUNTIFS(Matriz!$F$5:$F$99,"*F5*",Matriz!$J$5:$J$99,"Cumple parcialmente")</f>
        <v/>
      </c>
      <c r="E9" s="7">
        <f>COUNTIFS(Matriz!$F$5:$F$99,"*F5*",Matriz!$J$5:$J$99,"No cumple")</f>
        <v/>
      </c>
      <c r="F9" s="7">
        <f>COUNTIFS(Matriz!$F$5:$F$99,"*F5*",Matriz!$J$5:$J$99,"No aplica")</f>
        <v/>
      </c>
      <c r="G9" s="8">
        <f>IFERROR(C9/B9,0)</f>
        <v/>
      </c>
      <c r="H9" s="7">
        <f>COUNTIFS(Matriz!$F$5:$F$99,"*F5*",Matriz!$M$5:$M$99,"Verificado")</f>
        <v/>
      </c>
      <c r="I9" s="7">
        <f>COUNTIFS(Matriz!$F$5:$F$99,"*F5*",Matriz!$M$5:$M$99,"Verificado parcialmente")</f>
        <v/>
      </c>
    </row>
    <row r="10">
      <c r="A10" s="7" t="inlineStr">
        <is>
          <t>F6 · Preparación para distribución</t>
        </is>
      </c>
      <c r="B10" s="7">
        <f>COUNTIF(Matriz!$F$5:$F$99,"*F6*")</f>
        <v/>
      </c>
      <c r="C10" s="7">
        <f>COUNTIFS(Matriz!$F$5:$F$99,"*F6*",Matriz!$J$5:$J$99,"Cumple")</f>
        <v/>
      </c>
      <c r="D10" s="7">
        <f>COUNTIFS(Matriz!$F$5:$F$99,"*F6*",Matriz!$J$5:$J$99,"Cumple parcialmente")</f>
        <v/>
      </c>
      <c r="E10" s="7">
        <f>COUNTIFS(Matriz!$F$5:$F$99,"*F6*",Matriz!$J$5:$J$99,"No cumple")</f>
        <v/>
      </c>
      <c r="F10" s="7">
        <f>COUNTIFS(Matriz!$F$5:$F$99,"*F6*",Matriz!$J$5:$J$99,"No aplica")</f>
        <v/>
      </c>
      <c r="G10" s="8">
        <f>IFERROR(C10/B10,0)</f>
        <v/>
      </c>
      <c r="H10" s="7">
        <f>COUNTIFS(Matriz!$F$5:$F$99,"*F6*",Matriz!$M$5:$M$99,"Verificado")</f>
        <v/>
      </c>
      <c r="I10" s="7">
        <f>COUNTIFS(Matriz!$F$5:$F$99,"*F6*",Matriz!$M$5:$M$99,"Verificado parcialmente")</f>
        <v/>
      </c>
    </row>
    <row r="11">
      <c r="A11" s="7" t="inlineStr">
        <is>
          <t>F7 · Publicación y lanzamiento</t>
        </is>
      </c>
      <c r="B11" s="7">
        <f>COUNTIF(Matriz!$F$5:$F$99,"*F7*")</f>
        <v/>
      </c>
      <c r="C11" s="7">
        <f>COUNTIFS(Matriz!$F$5:$F$99,"*F7*",Matriz!$J$5:$J$99,"Cumple")</f>
        <v/>
      </c>
      <c r="D11" s="7">
        <f>COUNTIFS(Matriz!$F$5:$F$99,"*F7*",Matriz!$J$5:$J$99,"Cumple parcialmente")</f>
        <v/>
      </c>
      <c r="E11" s="7">
        <f>COUNTIFS(Matriz!$F$5:$F$99,"*F7*",Matriz!$J$5:$J$99,"No cumple")</f>
        <v/>
      </c>
      <c r="F11" s="7">
        <f>COUNTIFS(Matriz!$F$5:$F$99,"*F7*",Matriz!$J$5:$J$99,"No aplica")</f>
        <v/>
      </c>
      <c r="G11" s="8">
        <f>IFERROR(C11/B11,0)</f>
        <v/>
      </c>
      <c r="H11" s="7">
        <f>COUNTIFS(Matriz!$F$5:$F$99,"*F7*",Matriz!$M$5:$M$99,"Verificado")</f>
        <v/>
      </c>
      <c r="I11" s="7">
        <f>COUNTIFS(Matriz!$F$5:$F$99,"*F7*",Matriz!$M$5:$M$99,"Verificado parcialmente")</f>
        <v/>
      </c>
    </row>
    <row r="12">
      <c r="A12" s="7" t="inlineStr">
        <is>
          <t>Posterior · fuera de alcance</t>
        </is>
      </c>
      <c r="B12" s="7">
        <f>COUNTIF(Matriz!$F$5:$F$99,"*Posterior*")</f>
        <v/>
      </c>
      <c r="C12" s="7">
        <f>COUNTIFS(Matriz!$F$5:$F$99,"*Posterior*",Matriz!$J$5:$J$99,"Cumple")</f>
        <v/>
      </c>
      <c r="D12" s="7">
        <f>COUNTIFS(Matriz!$F$5:$F$99,"*Posterior*",Matriz!$J$5:$J$99,"Cumple parcialmente")</f>
        <v/>
      </c>
      <c r="E12" s="7">
        <f>COUNTIFS(Matriz!$F$5:$F$99,"*Posterior*",Matriz!$J$5:$J$99,"No cumple")</f>
        <v/>
      </c>
      <c r="F12" s="7">
        <f>COUNTIFS(Matriz!$F$5:$F$99,"*Posterior*",Matriz!$J$5:$J$99,"No aplica")</f>
        <v/>
      </c>
      <c r="G12" s="8">
        <f>IFERROR(C12/B12,0)</f>
        <v/>
      </c>
      <c r="H12" s="7">
        <f>COUNTIFS(Matriz!$F$5:$F$99,"*Posterior*",Matriz!$M$5:$M$99,"Verificado")</f>
        <v/>
      </c>
      <c r="I12" s="7">
        <f>COUNTIFS(Matriz!$F$5:$F$99,"*Posterior*",Matriz!$M$5:$M$99,"Verificado parcialmente")</f>
        <v/>
      </c>
    </row>
    <row r="13">
      <c r="A13" s="9" t="inlineStr">
        <is>
          <t>Total del producto</t>
        </is>
      </c>
      <c r="B13" s="9">
        <f>COUNTA(Matriz!$A$5:$A$99)</f>
        <v/>
      </c>
      <c r="C13" s="9">
        <f>COUNTIF(Matriz!$J$5:$J$99,"Cumple")</f>
        <v/>
      </c>
      <c r="D13" s="9">
        <f>COUNTIF(Matriz!$J$5:$J$99,"Cumple parcialmente")</f>
        <v/>
      </c>
      <c r="E13" s="9">
        <f>COUNTIF(Matriz!$J$5:$J$99,"No cumple")</f>
        <v/>
      </c>
      <c r="F13" s="9">
        <f>COUNTIF(Matriz!$J$5:$J$99,"No aplica")</f>
        <v/>
      </c>
      <c r="G13" s="10">
        <f>IFERROR(C13/B13,0)</f>
        <v/>
      </c>
      <c r="H13" s="9">
        <f>COUNTIF(Matriz!$M$5:$M$99,"Verificado")</f>
        <v/>
      </c>
      <c r="I13" s="9">
        <f>COUNTIF(Matriz!$M$5:$M$99,"Verificado parcialmente")</f>
        <v/>
      </c>
    </row>
    <row r="15">
      <c r="A15" s="11" t="inlineStr">
        <is>
          <t>Por método de verificación</t>
        </is>
      </c>
    </row>
    <row r="16">
      <c r="A16" s="12" t="inlineStr">
        <is>
          <t>I · Inspección</t>
        </is>
      </c>
      <c r="B16" s="12">
        <f>COUNTIF(Matriz!$H$5:$H$99,"I")</f>
        <v/>
      </c>
    </row>
    <row r="17">
      <c r="A17" s="12" t="inlineStr">
        <is>
          <t>A · Análisis</t>
        </is>
      </c>
      <c r="B17" s="12">
        <f>COUNTIF(Matriz!$H$5:$H$99,"A")</f>
        <v/>
      </c>
    </row>
    <row r="18">
      <c r="A18" s="12" t="inlineStr">
        <is>
          <t>D · Demostración</t>
        </is>
      </c>
      <c r="B18" s="12">
        <f>COUNTIF(Matriz!$H$5:$H$99,"D")</f>
        <v/>
      </c>
    </row>
    <row r="19">
      <c r="A19" s="12" t="inlineStr">
        <is>
          <t>T · Prueba</t>
        </is>
      </c>
      <c r="B19" s="12">
        <f>COUNTIF(Matriz!$H$5:$H$99,"T")</f>
        <v/>
      </c>
    </row>
    <row r="20">
      <c r="A20" s="12" t="inlineStr">
        <is>
          <t>I+T · Inspección y prueba</t>
        </is>
      </c>
      <c r="B20" s="12">
        <f>COUNTIF(Matriz!$H$5:$H$99,"I+T")</f>
        <v/>
      </c>
    </row>
    <row r="21">
      <c r="A21" s="12" t="inlineStr">
        <is>
          <t>N/A · No aplica</t>
        </is>
      </c>
      <c r="B21" s="12">
        <f>COUNTIF(Matriz!$H$5:$H$99,"N/A")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1.13</t>
        </is>
      </c>
      <c r="B2" s="14" t="inlineStr">
        <is>
          <t>20/10/2026</t>
        </is>
      </c>
      <c r="C2" s="14" t="inlineStr">
        <is>
          <t>v1.15</t>
        </is>
      </c>
      <c r="D2" s="14" t="inlineStr">
        <is>
          <t>0.3.3</t>
        </is>
      </c>
      <c r="E2" s="14" t="inlineStr">
        <is>
          <t>Sesión 1: 40 requisitos verificados en el iPhone y el PC del cliente (V-08). Criterios nuevos de J-01, J-08, J-10 y S-02; C-08 y S-09 nuevos, fuera de alcance.</t>
        </is>
      </c>
    </row>
    <row r="3" ht="46" customHeight="1">
      <c r="A3" s="14" t="inlineStr">
        <is>
          <t>1.12</t>
        </is>
      </c>
      <c r="B3" s="14" t="inlineStr">
        <is>
          <t>20/10/2026</t>
        </is>
      </c>
      <c r="C3" s="14" t="inlineStr">
        <is>
          <t>v1.14</t>
        </is>
      </c>
      <c r="D3" s="14" t="inlineStr">
        <is>
          <t>0.3.2</t>
        </is>
      </c>
      <c r="E3" s="14" t="inlineStr">
        <is>
          <t>Criterios de V-04 y G-05: «+» enseña más trastes y el usuario puede pedir trastes de hasta 28 px con el dedo (comentario del cliente del 20/10).</t>
        </is>
      </c>
    </row>
    <row r="4" ht="46" customHeight="1">
      <c r="A4" s="14" t="inlineStr">
        <is>
          <t>1.11</t>
        </is>
      </c>
      <c r="B4" s="14" t="inlineStr">
        <is>
          <t>20/10/2026</t>
        </is>
      </c>
      <c r="C4" s="14" t="inlineStr">
        <is>
          <t>v1.13</t>
        </is>
      </c>
      <c r="D4" s="14" t="inlineStr">
        <is>
          <t>0.3.1</t>
        </is>
      </c>
      <c r="E4" s="14" t="inlineStr">
        <is>
          <t>Etapa F3.4: G-05 cumple, verificado parcialmente hasta la Sesión 1. Su criterio añade los umbrales de la paleta (AR-06 #3).</t>
        </is>
      </c>
    </row>
    <row r="5" ht="46" customHeight="1">
      <c r="A5" s="14" t="inlineStr">
        <is>
          <t>1.10</t>
        </is>
      </c>
      <c r="B5" s="14" t="inlineStr">
        <is>
          <t>20/10/2026</t>
        </is>
      </c>
      <c r="C5" s="14" t="inlineStr">
        <is>
          <t>v1.12</t>
        </is>
      </c>
      <c r="D5" s="14" t="inlineStr">
        <is>
          <t>0.3.0</t>
        </is>
      </c>
      <c r="E5" s="14" t="inlineStr">
        <is>
          <t>Etapa F3.2: V-01 y C-07 cumplen, verificados parcialmente hasta la Sesión 1. Criterios revisados: V-04 (lo guardado se conserva) y G-05 (excepción en vertical por debajo de 660 px de alto).</t>
        </is>
      </c>
    </row>
    <row r="6" ht="46" customHeight="1">
      <c r="A6" s="14" t="inlineStr">
        <is>
          <t>1.9</t>
        </is>
      </c>
      <c r="B6" s="14" t="inlineStr">
        <is>
          <t>20/10/2026</t>
        </is>
      </c>
      <c r="C6" s="14" t="inlineStr">
        <is>
          <t>v1.11</t>
        </is>
      </c>
      <c r="D6" s="14" t="inlineStr">
        <is>
          <t>0.2.3</t>
        </is>
      </c>
      <c r="E6" s="14" t="inlineStr">
        <is>
          <t>Interfaz aprobada: C-06 verificado; C-07 nuevo; criterios revisados de V-01 (40 px con alto útil ≥ 268 px y aviso para girar), V-04 (trastes ≥ 40 px en pantallas táctiles), G-05 (controles de 40 × 40 px) y C-04 (navegación según la disposición).</t>
        </is>
      </c>
    </row>
    <row r="7" ht="46" customHeight="1">
      <c r="A7" s="14" t="inlineStr">
        <is>
          <t>1.8</t>
        </is>
      </c>
      <c r="B7" s="14" t="inlineStr">
        <is>
          <t>20/10/2026</t>
        </is>
      </c>
      <c r="C7" s="14" t="inlineStr">
        <is>
          <t>v1.10</t>
        </is>
      </c>
      <c r="D7" s="14" t="inlineStr">
        <is>
          <t>0.2.3</t>
        </is>
      </c>
      <c r="E7" s="14" t="inlineStr">
        <is>
          <t>S-07 cumple y queda verificado: licencia CC BY de los 161 sonidos del pack de nylon.</t>
        </is>
      </c>
    </row>
    <row r="8" ht="46" customHeight="1">
      <c r="A8" s="14" t="inlineStr">
        <is>
          <t>1.7</t>
        </is>
      </c>
      <c r="B8" s="14" t="inlineStr">
        <is>
          <t>20/10/2026</t>
        </is>
      </c>
      <c r="C8" s="14" t="inlineStr">
        <is>
          <t>v1.9</t>
        </is>
      </c>
      <c r="D8" s="14" t="inlineStr">
        <is>
          <t>0.2.3</t>
        </is>
      </c>
      <c r="E8" s="14" t="inlineStr">
        <is>
          <t>Evidencia de S-07: licencia de nylon comprobada en tres sonidos. Criterios sin cambios.</t>
        </is>
      </c>
    </row>
    <row r="9" ht="46" customHeight="1">
      <c r="A9" s="14" t="inlineStr">
        <is>
          <t>1.6</t>
        </is>
      </c>
      <c r="B9" s="14" t="inlineStr">
        <is>
          <t>19/10/2026</t>
        </is>
      </c>
      <c r="C9" s="14" t="inlineStr">
        <is>
          <t>v1.8</t>
        </is>
      </c>
      <c r="D9" s="14" t="inlineStr">
        <is>
          <t>0.2.3</t>
        </is>
      </c>
      <c r="E9" s="14" t="inlineStr">
        <is>
          <t>CP-2: criterio de G-07 con los límites revisados y solo Windows y Android; X-01 cumple; evidencia de S-01 con la escucha del cliente (V-05).</t>
        </is>
      </c>
    </row>
    <row r="10" ht="46" customHeight="1">
      <c r="A10" s="14" t="inlineStr">
        <is>
          <t>1.5</t>
        </is>
      </c>
      <c r="B10" s="14" t="inlineStr">
        <is>
          <t>19/10/2026</t>
        </is>
      </c>
      <c r="C10" s="14" t="inlineStr">
        <is>
          <t>v1.7</t>
        </is>
      </c>
      <c r="D10" s="14" t="inlineStr">
        <is>
          <t>0.2.2</t>
        </is>
      </c>
      <c r="E10" s="14" t="inlineStr">
        <is>
          <t>Criterio de S-08 según su nueva redacción: nota resultante a ±5 cents tras la corrección.</t>
        </is>
      </c>
    </row>
    <row r="11" ht="46" customHeight="1">
      <c r="A11" s="14" t="inlineStr">
        <is>
          <t>1.4</t>
        </is>
      </c>
      <c r="B11" s="14" t="inlineStr">
        <is>
          <t>19/10/2026</t>
        </is>
      </c>
      <c r="C11" s="14" t="inlineStr">
        <is>
          <t>v1.6</t>
        </is>
      </c>
      <c r="D11" s="14" t="inlineStr">
        <is>
          <t>0.2.1</t>
        </is>
      </c>
      <c r="E11" s="14" t="inlineStr">
        <is>
          <t>G-07 y G-08 verificados parcialmente con el archivo autónomo (V-03 y banco); falta la prueba en cada plataforma (F2.5).</t>
        </is>
      </c>
    </row>
    <row r="12" ht="46" customHeight="1">
      <c r="A12" s="14" t="inlineStr">
        <is>
          <t>1.3</t>
        </is>
      </c>
      <c r="B12" s="14" t="inlineStr">
        <is>
          <t>19/10/2026</t>
        </is>
      </c>
      <c r="C12" s="14" t="inlineStr">
        <is>
          <t>v1.5</t>
        </is>
      </c>
      <c r="D12" s="14" t="inlineStr">
        <is>
          <t>0.2.0</t>
        </is>
      </c>
      <c r="E12" s="14" t="inlineStr">
        <is>
          <t>S-08 verificado: la app usa sus grabaciones medidas (F2.2). Evidencias nuevas en S-01, S-07 y S-08: banco con todas las notas y grabación en el navegador (V-02).</t>
        </is>
      </c>
    </row>
    <row r="13" ht="46" customHeight="1">
      <c r="A13" s="14" t="inlineStr">
        <is>
          <t>1.2</t>
        </is>
      </c>
      <c r="B13" s="14" t="inlineStr">
        <is>
          <t>15/10/2026</t>
        </is>
      </c>
      <c r="C13" s="14" t="inlineStr">
        <is>
          <t>v1.4</t>
        </is>
      </c>
      <c r="D13" s="14" t="inlineStr">
        <is>
          <t>0.1.4</t>
        </is>
      </c>
      <c r="E13" s="14" t="inlineStr">
        <is>
          <t>Nuevo PL-04: adaptabilidad entre sistemas, con docs/compatibilidad.md como evidencia. PL-02 sin Android de pruebas por ahora; X-02 con despliegue de pruebas previo.</t>
        </is>
      </c>
    </row>
    <row r="14" ht="46" customHeight="1">
      <c r="A14" s="14" t="inlineStr">
        <is>
          <t>1.1</t>
        </is>
      </c>
      <c r="B14" s="14" t="inlineStr">
        <is>
          <t>15/10/2026</t>
        </is>
      </c>
      <c r="C14" s="14" t="inlineStr">
        <is>
          <t>v1.3</t>
        </is>
      </c>
      <c r="D14" s="14" t="inlineStr">
        <is>
          <t>0.1.4</t>
        </is>
      </c>
      <c r="E14"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5" ht="46" customHeight="1">
      <c r="A15" s="14" t="inlineStr">
        <is>
          <t>1.0</t>
        </is>
      </c>
      <c r="B15" s="14" t="inlineStr">
        <is>
          <t>14/10/2026</t>
        </is>
      </c>
      <c r="C15" s="14" t="inlineStr">
        <is>
          <t>v1.2</t>
        </is>
      </c>
      <c r="D15" s="14" t="inlineStr">
        <is>
          <t>0.1.2</t>
        </is>
      </c>
      <c r="E15"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2026-10-20T16:26:44Z</dcterms:created>
  <dcterms:modified xmlns:dcterms="http://purl.org/dc/terms/" xmlns:xsi="http://www.w3.org/2001/XMLSchema-instance" xsi:type="dcterms:W3CDTF">2026-10-20T16:26:45Z</dcterms:modified>
</cp:coreProperties>
</file>