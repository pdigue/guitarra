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1.23. Base: requisitos.md v1.25 · app 0.6.0 · roadmap 3.23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v1.23</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108" customHeight="1">
      <c r="A6" s="4" t="inlineStr">
        <is>
          <t>G-02</t>
        </is>
      </c>
      <c r="B6" s="5" t="inlineStr">
        <is>
          <t>Requisitos generales y de producto</t>
        </is>
      </c>
      <c r="C6" s="5" t="inlineStr">
        <is>
          <t>La app se organiza en áreas accesibles desde una navegación principal: Libre, Adivinar, Afinador, Escalas, Acordes y Metrónomo.</t>
        </is>
      </c>
      <c r="D6" s="5" t="inlineStr">
        <is>
          <t>Alta</t>
        </is>
      </c>
      <c r="E6" s="5" t="inlineStr">
        <is>
          <t>Cliente · listado 14/09</t>
        </is>
      </c>
      <c r="F6" s="5" t="inlineStr">
        <is>
          <t>F1</t>
        </is>
      </c>
      <c r="G6" s="5" t="inlineStr">
        <is>
          <t>F1.1</t>
        </is>
      </c>
      <c r="H6" s="5" t="inlineStr">
        <is>
          <t>D</t>
        </is>
      </c>
      <c r="I6" s="5" t="inlineStr">
        <is>
          <t>La navegación muestra las seis áreas (Libre, Adivinar, Afinador, Escalas, Acordes y Metrónomo) y cada destino abre su vista.</t>
        </is>
      </c>
      <c r="J6" s="5" t="inlineStr">
        <is>
          <t>Cumple</t>
        </is>
      </c>
      <c r="K6" s="5" t="inlineStr">
        <is>
          <t>0.1.0</t>
        </is>
      </c>
      <c r="L6" s="5" t="inlineStr">
        <is>
          <t>F1.1 #1 y #14 · 0.5.5: comprobar-disposicion, seis pestañas en todas las pantallas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 Pendiente (CP-5): un registro de áreas, para que añadir una no obligue a tocar cuatro o cinco sitios (AT-11 #4).</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t>
        </is>
      </c>
      <c r="K12" s="5" t="inlineStr">
        <is>
          <t>0.1.0</t>
        </is>
      </c>
      <c r="L12" s="5" t="inlineStr">
        <is>
          <t>Banco (node --test) en dos pasadas: banco.test.js y escalas.test.js contra la app de varios archivos y contra el autónomo (autonomo.test.js), que además lee de dentro sus 17 grabaciones (huellas sha256) sin descargar nada; una sola vez, lo que lee el repositorio o compara las formas · el autónomo es exactamente la app ensamblada más su audio · comprobar-autonomo (Chromium, file:// y sin conexión: 0,15 s, ninguna conexión, error con módulo y línea exactos) · comprobar-en-navegador · CHANGELOG 0.6.0 · IT-04 · AR-13 y AT-12</t>
        </is>
      </c>
      <c r="M12" s="5" t="inlineStr">
        <is>
          <t>Verificado</t>
        </is>
      </c>
      <c r="N12" s="5" t="inlineStr">
        <is>
          <t>Banco automático + auditor técnico</t>
        </is>
      </c>
      <c r="O12" s="5" t="inlineStr">
        <is>
          <t>Desde la 0.2.1 hay dos formas reales: index.html para servir (Live Server y web) y dist/trasteando.html, generado a partir de él con herramientas/generar-autonomo.py. Desde la 0.4.0 (F4.1), la app vive en varios archivos (css/ y js/, uno por tema), y el generador los une con herramientas/ensamblar.js; el banco comprueba que el resultado es exactamente la app más su audio. Hecho en la 0.6.0 (F6.1) y validado por el banco: las pruebas que arrancan la app (banco.test.js y escalas.test.js) se pasan dos veces, contra la app de varios archivos (la que sirve la web) y contra el autónomo (tests/autonomo.test.js); solo van una vez las que leen el repositorio o comparan las dos formas, y las del detector de tono, que no usan la página. El autónomo lee de dentro sus 17 grabaciones, las generadas, sin descargar nada; cada módulo incrustado lleva su nombre (//# sourceURL), y un error dice el módulo y la línea exactos; el ensamblador se niega a incrustar uno que rompería la página. En Chromium, abierto desde el disco y sin conexión, abre en 0,15 s sin ningún intento de conexión. Instalarla como PWA es G-04 (F6.3). Pendiente (AR-13): se reconfirma contra la web publicada en F7.1, como G-03 (#2), y en la Sesión 2 se abre el autónomo con doble clic en Windows, en modo avión (#3).</t>
        </is>
      </c>
      <c r="P12" s="6" t="n"/>
      <c r="Q12" s="5" t="inlineStr">
        <is>
          <t>Modificado</t>
        </is>
      </c>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 Pendiente (CP-5): quitar LATIN y los campos anglo y latin de noteInfo(), que ya no se usan y se saltarían N-06 (AT-11 #10).</t>
        </is>
      </c>
      <c r="P26" s="6" t="n"/>
      <c r="Q26" s="5" t="inlineStr"/>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Verificado parcialmente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 Pendiente (CP-5): condicionarlo a «Al fallar: Ver la respuesta», que desde la 0.5.3 ya no es lo de fábrica, y describirlo así en interfaz.md A2 (AR-12 #7).</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Verificado parcialmente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24 mayores y menores con siete letras, sin mezclar ♯ y ♭ ni dobles alteraciones, y 16 de ellas nota a nota frente al libro; pentatónicas dentro de su escala; casillas por clase de altura</t>
        </is>
      </c>
      <c r="M64" s="5" t="inlineStr">
        <is>
          <t>Verificado parcialmente</t>
        </is>
      </c>
      <c r="N64" s="5" t="inlineStr">
        <is>
          <t>Banco automático + auditor técnico</t>
        </is>
      </c>
      <c r="O64" s="5" t="inlineStr">
        <is>
          <t>Alcance acotado. Las demás afinaciones pasan a E-02b. Hecho en la 0.5.0 (banco tests/escalas.test.js): las 24 mayores y menores con siete letras distintas, sin mezclar ♯ y ♭ ni dobles alteraciones, y 16 de ellas comparadas nota a nota con el libro; las pentatónicas, dentro de su escala. Verificado parcialmente hasta tener la tabla de referencia completa (CP-5, AR-12 #4 y ronda 2). Las casillas salen de la clase de altura de cada nota, así que también funcionan en las demás afinaciones; lo que sigue fuera (E-02b) son las digitaciones. Pendiente (CP-5): comparar nota a nota las 48 escalas con una tabla de referencia (hoy, 16 más reglas generales) y comprobar las 48 en el mástil (AR-12 #4, AT-11); que una alteración fuera de ±2 dé error y no «Doundefined» (AT-11 #9). Alcance: funciona en todas las afinaciones aunque el texto diga solo estándar; lo confirmas tú (AR-12 #9).</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Verificado parcialmente</t>
        </is>
      </c>
      <c r="N66" s="5" t="inlineStr">
        <is>
          <t>Cliente</t>
        </is>
      </c>
      <c r="O66" s="5" t="inlineStr">
        <is>
          <t>Hecho en la 0.5.0: el mástil enseña solo las notas de la escala, con su nombre escrito (Si♭ en Fa mayor, no La#) y la tónica con anillo. Falta que lo veas.</t>
        </is>
      </c>
      <c r="P66" s="6" t="n"/>
      <c r="Q66" s="5" t="inlineStr"/>
    </row>
    <row r="67" ht="120"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Verificado parcialmente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 Pendiente (CP-5): T, ST y T½ no se traducen al inglés, y «T½» puede leerse como medio tono (AR-12 #8).</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120"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Verificado parcialmente</t>
        </is>
      </c>
      <c r="N70" s="5" t="inlineStr">
        <is>
          <t>Cliente</t>
        </is>
      </c>
      <c r="O70" s="5" t="inlineStr">
        <is>
          <t>Hecho en la 0.5.0: ◀ ▶ recorre la escala desde la tónica más grave del mástil hasta su octava; cada paso suena, se resalta en el mástil y en el pentagrama, y se explica («Mi, un tono sobre Re»). Falta que lo veas. Pendiente (CP-5): con una afinación muy grave (36 o menos) el pentagrama cambia de octava a mitad de escala; hace falta un solo desplazamiento por pentagrama (AT-09 #10, AT-11 #3).</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20"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nombre del tempo, Empezar y Parar · comprobar-disposicion: cinco pantallas</t>
        </is>
      </c>
      <c r="M83" s="5" t="inlineStr">
        <is>
          <t>Verificado parcialmente</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 Verificado parcialmente: lo sostiene el banco hasta que lo compruebes tú (Sesión 2), igual que las escalas (CP-5, AR-12 #1). Pendiente (CP-5): mostrar qué figura cuenta el tempo («♩. = 80» en 6/8) y citar en el criterio los tramos de los nombres italianos (AR-12 #11).</t>
        </is>
      </c>
      <c r="P83" s="6" t="n"/>
      <c r="Q83" s="5" t="inlineStr"/>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120"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 En la 0.5.7 (CP-5, AT-11 #1), arranca aunque el iPhone haya dejado el audio en pausa (tras una llamada o Siri): espera a que despierte. Pendiente (CP-5): medir el pulso en Chromium con audio real, 60 s a 250 ppm cambiando de área (AR-12 #3); al parar pueden sonar los golpes ya programados, hasta 100 ms (AT-11 #2); el dibujo no descuenta la latencia de salida (AT-11 #5); desconectar los osciladores al acabar (AT-11 #6). Ronda 2 de AT-11: tras Siri, si el audio sigue en pausa, «Vuelve a pulsar» se repite sin rehacer el audio (medio); durante la espera el botón no cambia (bajo); Empezar, Parar y Empezar en menos de 400 ms puede anular el tercero (bajo). Decisión tuya pendiente: mantener la pantalla encendida mientras suena (AR-12 #2).</t>
        </is>
      </c>
      <c r="P86" s="6" t="n"/>
      <c r="Q86" s="5" t="inlineStr"/>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figura y acento en el primer tiempo.</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y en el Afinador hasta escuchar con el micrófono, pestaña que late, parada con el micrófono y aviso, datos guardados</t>
        </is>
      </c>
      <c r="M87" s="5" t="inlineStr">
        <is>
          <t>Verificado parcialmente</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 Verificado parcialmente: lo sostiene el banco hasta que lo compruebes tú (Sesión 2), igual que las escalas (CP-5, AR-12 #1).</t>
        </is>
      </c>
      <c r="P87" s="6" t="n"/>
      <c r="Q87" s="5" t="inlineStr"/>
    </row>
    <row r="88" ht="120" customHeight="1">
      <c r="A88" s="4" t="inlineStr">
        <is>
          <t>AC-01</t>
        </is>
      </c>
      <c r="B88" s="5" t="inlineStr">
        <is>
          <t>Acordes</t>
        </is>
      </c>
      <c r="C88" s="5" t="inlineStr">
        <is>
          <t>Librería de acordes, un área propia: a un lado, el listado de nombres, con una sección de populares arriba y debajo los 30 acordes más habituales; al otro, el acorde dibujado en el mástil.</t>
        </is>
      </c>
      <c r="D88" s="5" t="inlineStr">
        <is>
          <t>Media</t>
        </is>
      </c>
      <c r="E88" s="5" t="inlineStr">
        <is>
          <t>Cliente · 21/10</t>
        </is>
      </c>
      <c r="F88" s="5" t="inlineStr">
        <is>
          <t>F5</t>
        </is>
      </c>
      <c r="G88" s="5" t="inlineStr">
        <is>
          <t>F5.7</t>
        </is>
      </c>
      <c r="H88" s="5" t="inlineStr">
        <is>
          <t>T</t>
        </is>
      </c>
      <c r="I88" s="5" t="inlineStr">
        <is>
          <t>A un lado el listado (populares arriba, los 30 acordes debajo) y al otro el mástil; cada digitación suena solo a notas del acorde, con la raíz, la nota que define el tipo (la tercera, o la cuarta en sus4) y la séptima si la lleva (la quinta se puede omitir), y con la raíz o el bajo indicado como nota más grave.</t>
        </is>
      </c>
      <c r="J88" s="5" t="inlineStr">
        <is>
          <t>Cumple</t>
        </is>
      </c>
      <c r="K88" s="5" t="inlineStr">
        <is>
          <t>0.5.5</t>
        </is>
      </c>
      <c r="L88" s="5" t="inlineStr">
        <is>
          <t>Banco (node --test): las 30 digitaciones, una a una; populares y listado · comprobar-disposicion: listado y mástil a la vez en seis pantallas</t>
        </is>
      </c>
      <c r="M88" s="5" t="inlineStr">
        <is>
          <t>Verificado</t>
        </is>
      </c>
      <c r="N88" s="5" t="inlineStr">
        <is>
          <t>Banco automático + auditor técnico</t>
        </is>
      </c>
      <c r="O88"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 Pendiente (CP-5): contrastar los 30 con la tablatura y los dedos de un método citado; probar la cejilla y dibujar los 30 en el mástil (AR-12 #4, AT-11); raíz con alteración para F♯m, B♭ o D/F♯ (AT-11 #8); rasgueo con el reloj de audio (AT-11 #7).</t>
        </is>
      </c>
      <c r="P88" s="6" t="n"/>
      <c r="Q88" s="5" t="inlineStr"/>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(Okabe-Ito); círculo ≥ 3:1 contra el mástil y número ≥ 4,5:1 contra el círculo; ○ y ✕ junto al nombre de la cuerda; cejilla como barra; el lector de pantalla dice el dedo.</t>
        </is>
      </c>
      <c r="J89" s="5" t="inlineStr">
        <is>
          <t>Cumple</t>
        </is>
      </c>
      <c r="K89" s="5" t="inlineStr">
        <is>
          <t>0.5.5</t>
        </is>
      </c>
      <c r="L89" s="5" t="inlineStr">
        <is>
          <t>Banco (node --test): La menor y Fa dibujados, contraste de los cuatro colores · comprobar-accesibilidad: Acordes con Fa</t>
        </is>
      </c>
      <c r="M89" s="5" t="inlineStr">
        <is>
          <t>Verificado parcialmente</t>
        </is>
      </c>
      <c r="N89" s="5" t="inlineStr">
        <is>
          <t>Cliente</t>
        </is>
      </c>
      <c r="O89"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 Verificado parcialmente: lo sostiene el banco hasta que lo compruebes tú (Sesión 2), igual que las escalas (CP-5, AR-12 #1).</t>
        </is>
      </c>
      <c r="P89" s="6" t="n"/>
      <c r="Q89" s="5" t="inlineStr"/>
    </row>
    <row r="90" ht="120" customHeight="1">
      <c r="A90" s="4" t="inlineStr">
        <is>
          <t>AC-03</t>
        </is>
      </c>
      <c r="B90" s="5" t="inlineStr">
        <is>
          <t>Acordes</t>
        </is>
      </c>
      <c r="C90" s="5" t="inlineStr">
        <is>
          <t>El pentagrama escribe el acorde con sus notas apiladas, escritas como manda el acorde (B7: Re♯);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escritas como manda el acorde, y se oculta con su ajuste; en el móvil en vertical se aparta y vuelve al girarlo.</t>
        </is>
      </c>
      <c r="J90" s="5" t="inlineStr">
        <is>
          <t>Cumple</t>
        </is>
      </c>
      <c r="K90" s="5" t="inlineStr">
        <is>
          <t>0.5.5</t>
        </is>
      </c>
      <c r="L90" s="5" t="inlineStr">
        <is>
          <t>Banco (node --test): cinco notas de La menor; B7 con Re♯ · el ajuste de pentagrama de siempre (F1.1) · comprobar-disposicion: seis pantallas</t>
        </is>
      </c>
      <c r="M90" s="5" t="inlineStr">
        <is>
          <t>Verificado parcialmente</t>
        </is>
      </c>
      <c r="N90" s="5" t="inlineStr">
        <is>
          <t>Cliente</t>
        </is>
      </c>
      <c r="O90" s="5" t="inlineStr">
        <is>
          <t>En el móvil en vertical el pentagrama se aparta para que el listado y el mástil quepan; se ve al girar el móvil y en pantallas amplias. Hecho en la 0.5.5 y validado por el banco; falta que lo compares con tu guitarra (Sesión 2). Verificado parcialmente: lo sostiene el banco hasta que lo compruebes tú (Sesión 2), igual que las escalas (CP-5, AR-12 #1).</t>
        </is>
      </c>
      <c r="P90" s="6" t="n"/>
      <c r="Q90" s="5" t="inlineStr"/>
    </row>
    <row r="91" ht="48" customHeight="1">
      <c r="A91" s="4" t="inlineStr">
        <is>
          <t>AC-04</t>
        </is>
      </c>
      <c r="B91" s="5" t="inlineStr">
        <is>
          <t>Acordes</t>
        </is>
      </c>
      <c r="C91" s="5" t="inlineStr">
        <is>
          <t>El acorde suena rasgueado, de grave a agudo, al elegirlo y con «Tocar»; cada cuerda se puede tocar suelta.</t>
        </is>
      </c>
      <c r="D91" s="5" t="inlineStr">
        <is>
          <t>Media</t>
        </is>
      </c>
      <c r="E91" s="5" t="inlineStr">
        <is>
          <t>Cliente · 21/10</t>
        </is>
      </c>
      <c r="F91" s="5" t="inlineStr">
        <is>
          <t>F5</t>
        </is>
      </c>
      <c r="G91" s="5" t="inlineStr">
        <is>
          <t>F5.7</t>
        </is>
      </c>
      <c r="H91" s="5" t="inlineStr">
        <is>
          <t>T</t>
        </is>
      </c>
      <c r="I91" s="5" t="inlineStr">
        <is>
          <t>El acorde suena rasgueado de grave a agudo al elegirlo y con «Tocar»; cada cuerda se puede tocar suelta.</t>
        </is>
      </c>
      <c r="J91" s="5" t="inlineStr">
        <is>
          <t>Cumple</t>
        </is>
      </c>
      <c r="K91" s="5" t="inlineStr">
        <is>
          <t>0.5.5</t>
        </is>
      </c>
      <c r="L91" s="5" t="inlineStr">
        <is>
          <t>Banco (node --test): orden del rasgueo · cada casilla suena suelta como en todo el mástil (F1.1 #2)</t>
        </is>
      </c>
      <c r="M91" s="5" t="inlineStr">
        <is>
          <t>Verificado</t>
        </is>
      </c>
      <c r="N91" s="5" t="inlineStr">
        <is>
          <t>Banco automático + auditor técnico</t>
        </is>
      </c>
      <c r="O91" s="5" t="inlineStr">
        <is>
          <t>35 ms entre cuerda y cuerda. Hecho en la 0.5.5 y validado por el banco; falta que lo compares con tu guitarra (Sesión 2).</t>
        </is>
      </c>
      <c r="P91" s="6" t="n"/>
      <c r="Q91" s="5" t="inlineStr"/>
    </row>
    <row r="92" ht="63" customHeight="1">
      <c r="A92" s="4" t="inlineStr">
        <is>
          <t>AC-05</t>
        </is>
      </c>
      <c r="B92" s="5" t="inlineStr">
        <is>
          <t>Acordes</t>
        </is>
      </c>
      <c r="C92" s="5" t="inlineStr">
        <is>
          <t>Las digitaciones son para la afinación estándar en la primera entrega: con otra afinación activa, Acordes lo avisa, no las dibuja y ofrece pasar a la estándar.</t>
        </is>
      </c>
      <c r="D92" s="5" t="inlineStr">
        <is>
          <t>Media</t>
        </is>
      </c>
      <c r="E92" s="5" t="inlineStr">
        <is>
          <t>Cliente · 21/10</t>
        </is>
      </c>
      <c r="F92" s="5" t="inlineStr">
        <is>
          <t>F5</t>
        </is>
      </c>
      <c r="G92" s="5" t="inlineStr">
        <is>
          <t>F5.7</t>
        </is>
      </c>
      <c r="H92" s="5" t="inlineStr">
        <is>
          <t>T</t>
        </is>
      </c>
      <c r="I92" s="5" t="inlineStr">
        <is>
          <t>Con otra afinación, Acordes avisa, no dibuja las digitaciones y «Pasar a estándar» las recupera.</t>
        </is>
      </c>
      <c r="J92" s="5" t="inlineStr">
        <is>
          <t>Cumple</t>
        </is>
      </c>
      <c r="K92" s="5" t="inlineStr">
        <is>
          <t>0.5.5</t>
        </is>
      </c>
      <c r="L92" s="5" t="inlineStr">
        <is>
          <t>Banco (node --test): Drop D y vuelta a la estándar</t>
        </is>
      </c>
      <c r="M92" s="5" t="inlineStr">
        <is>
          <t>Verificado</t>
        </is>
      </c>
      <c r="N92" s="5" t="inlineStr">
        <is>
          <t>Banco automático + auditor técnico</t>
        </is>
      </c>
      <c r="O92" s="5" t="inlineStr">
        <is>
          <t>Las digitaciones dependen de la afinación; las demás, para después. Hecho en la 0.5.5 y validado por el banco; falta que lo compares con tu guitarra (Sesión 2).</t>
        </is>
      </c>
      <c r="P92" s="6" t="n"/>
      <c r="Q92" s="5" t="inlineStr"/>
    </row>
    <row r="93" ht="78" customHeight="1">
      <c r="A93" s="4" t="inlineStr">
        <is>
          <t>AC-06</t>
        </is>
      </c>
      <c r="B93" s="5" t="inlineStr">
        <is>
          <t>Acordes</t>
        </is>
      </c>
      <c r="C93" s="5" t="inlineStr">
        <is>
          <t>Un buscador filtra el listado por cómo empieza el nombre: «G» deja G, Gm, G7, G/B…; vale en las dos nomenclaturas («Sol» encuentra lo mismo) y sin distinguir mayúsculas.</t>
        </is>
      </c>
      <c r="D93" s="5" t="inlineStr">
        <is>
          <t>Media</t>
        </is>
      </c>
      <c r="E93" s="5" t="inlineStr">
        <is>
          <t>Cliente · 21/10</t>
        </is>
      </c>
      <c r="F93" s="5" t="inlineStr">
        <is>
          <t>F5</t>
        </is>
      </c>
      <c r="G93" s="5" t="inlineStr">
        <is>
          <t>F5.7</t>
        </is>
      </c>
      <c r="H93" s="5" t="inlineStr">
        <is>
          <t>T</t>
        </is>
      </c>
      <c r="I93" s="5" t="inlineStr">
        <is>
          <t>El buscador deja los acordes que empiezan por lo escrito, sin distinguir mayúsculas y en las dos nomenclaturas; una letra sola, solo en la inglesa.</t>
        </is>
      </c>
      <c r="J93" s="5" t="inlineStr">
        <is>
          <t>Cumple</t>
        </is>
      </c>
      <c r="K93" s="5" t="inlineStr">
        <is>
          <t>0.5.5</t>
        </is>
      </c>
      <c r="L93" s="5" t="inlineStr">
        <is>
          <t>Banco (node --test): G, g, Sol, D, Am, f# y vacío</t>
        </is>
      </c>
      <c r="M93" s="5" t="inlineStr">
        <is>
          <t>Verificado</t>
        </is>
      </c>
      <c r="N93" s="5" t="inlineStr">
        <is>
          <t>Banco automático + auditor técnico</t>
        </is>
      </c>
      <c r="O93" s="5" t="inlineStr">
        <is>
          <t>Tu petición del 21/10. Una sola letra solo se busca en la nomenclatura inglesa, para que «D» no traiga también los Do; # y b valen por ♯ y ♭. Hecho en la 0.5.5 y validado por el banco.</t>
        </is>
      </c>
      <c r="P93" s="6" t="n"/>
      <c r="Q93" s="5" t="inlineStr"/>
    </row>
    <row r="94" ht="120" customHeight="1">
      <c r="A94" s="4" t="inlineStr">
        <is>
          <t>V-01</t>
        </is>
      </c>
      <c r="B94" s="5" t="inlineStr">
        <is>
          <t>Visualización</t>
        </is>
      </c>
      <c r="C94" s="5" t="inlineStr">
        <is>
          <t>En móvil se sugiere la orientación horizontal con un aviso discreto; no se fuerza.</t>
        </is>
      </c>
      <c r="D94" s="5" t="inlineStr">
        <is>
          <t>Alta</t>
        </is>
      </c>
      <c r="E94" s="5" t="inlineStr">
        <is>
          <t>Cliente · 20/10 (interfaz.md v1.0)</t>
        </is>
      </c>
      <c r="F94" s="5" t="inlineStr">
        <is>
          <t>F3</t>
        </is>
      </c>
      <c r="G94" s="5" t="inlineStr">
        <is>
          <t>F3.2</t>
        </is>
      </c>
      <c r="H94" s="5" t="inlineStr">
        <is>
          <t>D</t>
        </is>
      </c>
      <c r="I94" s="5" t="inlineStr">
        <is>
          <t>En horizontal, con un alto útil de 268 px o más, cada cuerda mide al menos 40 px (iPhone en Safari e instalada; simulador de Android). En vertical, en pantallas táctiles de menos de 600 px de ancho y en Libre, Adivinar, Escalas y Acordes, aparece el aviso para girar; nunca en el Afinador ni en el Metrónomo; cerrado, no vuelve y «Restablecer» lo recupera.</t>
        </is>
      </c>
      <c r="J94" s="5" t="inlineStr">
        <is>
          <t>Cumple</t>
        </is>
      </c>
      <c r="K94" s="5" t="inlineStr">
        <is>
          <t>0.3.0</t>
        </is>
      </c>
      <c r="L94" s="5" t="inlineStr">
        <is>
          <t>V-06: comprobar-disposicion.js en 14 pantallas: 52,8 / 60,8 / 42,5 px · Banco (node --test): aviso para girar · Sesión 1: C02, C03 y D03</t>
        </is>
      </c>
      <c r="M94" s="5" t="inlineStr">
        <is>
          <t>Verificado</t>
        </is>
      </c>
      <c r="N94" s="5" t="inlineStr">
        <is>
          <t>Cliente</t>
        </is>
      </c>
      <c r="O94"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en Libre, Adivinar, Escalas y Acordes; nunca en el Afinador ni en el Metrónomo; cerrado no vuelve y «Restablecer» lo recupera. El bloqueo de orientación tiene mal soporte en iOS, así que no se fuerza. Validado en la Sesión 1 (20/10, informe V-08): C02, C03 y D03.</t>
        </is>
      </c>
      <c r="P94" s="6" t="n"/>
      <c r="Q94" s="5" t="inlineStr"/>
    </row>
    <row r="95" ht="33" customHeight="1">
      <c r="A95" s="4" t="inlineStr">
        <is>
          <t>V-02</t>
        </is>
      </c>
      <c r="B95" s="5" t="inlineStr">
        <is>
          <t>Visualización</t>
        </is>
      </c>
      <c r="C95" s="5" t="inlineStr">
        <is>
          <t>El afinador funciona en vertical y en horizontal.</t>
        </is>
      </c>
      <c r="D95" s="5" t="inlineStr">
        <is>
          <t>Alta</t>
        </is>
      </c>
      <c r="E95" s="5" t="inlineStr">
        <is>
          <t>Cliente · listado 14/09</t>
        </is>
      </c>
      <c r="F95" s="5" t="inlineStr">
        <is>
          <t>F1</t>
        </is>
      </c>
      <c r="G95" s="5" t="inlineStr">
        <is>
          <t>F1.1</t>
        </is>
      </c>
      <c r="H95" s="5" t="inlineStr">
        <is>
          <t>D</t>
        </is>
      </c>
      <c r="I95" s="5" t="inlineStr">
        <is>
          <t>El afinador se usa con comodidad en vertical y en horizontal.</t>
        </is>
      </c>
      <c r="J95" s="5" t="inlineStr">
        <is>
          <t>Cumple</t>
        </is>
      </c>
      <c r="K95" s="5" t="inlineStr">
        <is>
          <t>0.1.0</t>
        </is>
      </c>
      <c r="L95" s="5" t="inlineStr">
        <is>
          <t>F1.1 #14</t>
        </is>
      </c>
      <c r="M95" s="5" t="inlineStr">
        <is>
          <t>Pendiente</t>
        </is>
      </c>
      <c r="N95" s="5" t="inlineStr">
        <is>
          <t>Cliente</t>
        </is>
      </c>
      <c r="O95" s="5" t="inlineStr"/>
      <c r="P95" s="6" t="n"/>
      <c r="Q95" s="5" t="inlineStr"/>
    </row>
    <row r="96" ht="33" customHeight="1">
      <c r="A96" s="4" t="inlineStr">
        <is>
          <t>V-03</t>
        </is>
      </c>
      <c r="B96" s="5" t="inlineStr">
        <is>
          <t>Visualización</t>
        </is>
      </c>
      <c r="C96" s="5" t="inlineStr">
        <is>
          <t>En escritorio el mástil aprovecha el ancho disponible.</t>
        </is>
      </c>
      <c r="D96" s="5" t="inlineStr">
        <is>
          <t>Alta</t>
        </is>
      </c>
      <c r="E96" s="5" t="inlineStr">
        <is>
          <t>Cliente · listado 14/09</t>
        </is>
      </c>
      <c r="F96" s="5" t="inlineStr">
        <is>
          <t>F1</t>
        </is>
      </c>
      <c r="G96" s="5" t="inlineStr">
        <is>
          <t>F1.1</t>
        </is>
      </c>
      <c r="H96" s="5" t="inlineStr">
        <is>
          <t>D</t>
        </is>
      </c>
      <c r="I96" s="5" t="inlineStr">
        <is>
          <t>En una pantalla de 1280 px se ven los 24 trastes sin desplazarse.</t>
        </is>
      </c>
      <c r="J96" s="5" t="inlineStr">
        <is>
          <t>Cumple</t>
        </is>
      </c>
      <c r="K96" s="5" t="inlineStr">
        <is>
          <t>0.1.0</t>
        </is>
      </c>
      <c r="L96" s="5" t="inlineStr">
        <is>
          <t>F1.1 #14</t>
        </is>
      </c>
      <c r="M96" s="5" t="inlineStr">
        <is>
          <t>Pendiente</t>
        </is>
      </c>
      <c r="N96" s="5" t="inlineStr">
        <is>
          <t>Cliente</t>
        </is>
      </c>
      <c r="O96" s="5" t="inlineStr">
        <is>
          <t>Arranca mostrando el mástil completo en pantallas anchas.</t>
        </is>
      </c>
      <c r="P96" s="6" t="n"/>
      <c r="Q96" s="5" t="inlineStr"/>
    </row>
    <row r="97" ht="120" customHeight="1">
      <c r="A97" s="4" t="inlineStr">
        <is>
          <t>V-04</t>
        </is>
      </c>
      <c r="B97" s="5" t="inlineStr">
        <is>
          <t>Visualización</t>
        </is>
      </c>
      <c r="C97" s="5" t="inlineStr">
        <is>
          <t>Control de zoom que determina qué porción del mástil se ve.</t>
        </is>
      </c>
      <c r="D97" s="5" t="inlineStr">
        <is>
          <t>Alta</t>
        </is>
      </c>
      <c r="E97" s="5" t="inlineStr">
        <is>
          <t>Cliente · 20/10 (interfaz.md v1.0)</t>
        </is>
      </c>
      <c r="F97" s="5" t="inlineStr">
        <is>
          <t>F1 · F3</t>
        </is>
      </c>
      <c r="G97" s="5" t="inlineStr">
        <is>
          <t>F1.1 · F3.2</t>
        </is>
      </c>
      <c r="H97" s="5" t="inlineStr">
        <is>
          <t>D</t>
        </is>
      </c>
      <c r="I97"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7" s="5" t="inlineStr">
        <is>
          <t>Cumple</t>
        </is>
      </c>
      <c r="K97" s="5" t="inlineStr">
        <is>
          <t>0.1.0</t>
        </is>
      </c>
      <c r="L97" s="5" t="inlineStr">
        <is>
          <t>F1.1 #7 y #8 · V-06 · Banco (node --test): 40 px por defecto, 28 con «+», orden de los botones · Sesión 1: A07, A08 y C04</t>
        </is>
      </c>
      <c r="M97" s="5" t="inlineStr">
        <is>
          <t>Verificado</t>
        </is>
      </c>
      <c r="N97" s="5" t="inlineStr">
        <is>
          <t>Cliente</t>
        </is>
      </c>
      <c r="O97"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7" s="6" t="n"/>
      <c r="Q97" s="5" t="inlineStr"/>
    </row>
    <row r="98" ht="33" customHeight="1">
      <c r="A98" s="4" t="inlineStr">
        <is>
          <t>V-05</t>
        </is>
      </c>
      <c r="B98" s="5" t="inlineStr">
        <is>
          <t>Visualización</t>
        </is>
      </c>
      <c r="C98" s="5" t="inlineStr">
        <is>
          <t>Cuando el mástil no cabe, el usuario se desplaza lateralmente.</t>
        </is>
      </c>
      <c r="D98" s="5" t="inlineStr">
        <is>
          <t>Alta</t>
        </is>
      </c>
      <c r="E98" s="5" t="inlineStr">
        <is>
          <t>Cliente · listado 14/09</t>
        </is>
      </c>
      <c r="F98" s="5" t="inlineStr">
        <is>
          <t>F1</t>
        </is>
      </c>
      <c r="G98" s="5" t="inlineStr">
        <is>
          <t>F1.1</t>
        </is>
      </c>
      <c r="H98" s="5" t="inlineStr">
        <is>
          <t>D</t>
        </is>
      </c>
      <c r="I98" s="5" t="inlineStr">
        <is>
          <t>Con el mástil más ancho que la pantalla se puede desplazar hasta el traste 24.</t>
        </is>
      </c>
      <c r="J98" s="5" t="inlineStr">
        <is>
          <t>Cumple</t>
        </is>
      </c>
      <c r="K98" s="5" t="inlineStr">
        <is>
          <t>0.1.0 **Validado en la Sesión 1** (20/10, informe `V-08`): A08.</t>
        </is>
      </c>
      <c r="L98" s="5" t="inlineStr">
        <is>
          <t>F1.1 #14 · Sesión 1: A08</t>
        </is>
      </c>
      <c r="M98" s="5" t="inlineStr">
        <is>
          <t>Verificado</t>
        </is>
      </c>
      <c r="N98" s="5" t="inlineStr">
        <is>
          <t>Cliente</t>
        </is>
      </c>
      <c r="O98" s="5" t="inlineStr"/>
      <c r="P98" s="6" t="n"/>
      <c r="Q98" s="5" t="inlineStr"/>
    </row>
    <row r="99" ht="48" customHeight="1">
      <c r="A99" s="4" t="inlineStr">
        <is>
          <t>V-06</t>
        </is>
      </c>
      <c r="B99" s="5" t="inlineStr">
        <is>
          <t>Visualización</t>
        </is>
      </c>
      <c r="C99" s="5" t="inlineStr">
        <is>
          <t>El ancho de traste no cambia al desplazarse: el zoom fija el tamaño y el desplazamiento mueve la ventana.</t>
        </is>
      </c>
      <c r="D99" s="5" t="inlineStr">
        <is>
          <t>Alta</t>
        </is>
      </c>
      <c r="E99" s="5" t="inlineStr">
        <is>
          <t>Cliente · listado 14/09</t>
        </is>
      </c>
      <c r="F99" s="5" t="inlineStr">
        <is>
          <t>F1</t>
        </is>
      </c>
      <c r="G99" s="5" t="inlineStr">
        <is>
          <t>F1.1</t>
        </is>
      </c>
      <c r="H99" s="5" t="inlineStr">
        <is>
          <t>D</t>
        </is>
      </c>
      <c r="I99" s="5" t="inlineStr">
        <is>
          <t>Desplazarse no cambia el ancho de los trastes.</t>
        </is>
      </c>
      <c r="J99" s="5" t="inlineStr">
        <is>
          <t>Cumple</t>
        </is>
      </c>
      <c r="K99" s="5" t="inlineStr">
        <is>
          <t>0.1.0 **Validado en la Sesión 1** (20/10, informe `V-08`): A07.</t>
        </is>
      </c>
      <c r="L99" s="5" t="inlineStr">
        <is>
          <t>F1.1 #7 · Sesión 1: A07</t>
        </is>
      </c>
      <c r="M99" s="5" t="inlineStr">
        <is>
          <t>Verificado</t>
        </is>
      </c>
      <c r="N99" s="5" t="inlineStr">
        <is>
          <t>Cliente</t>
        </is>
      </c>
      <c r="O99" s="5" t="inlineStr"/>
      <c r="P99" s="6" t="n"/>
      <c r="Q99" s="5" t="inlineStr"/>
    </row>
    <row r="100" ht="33" customHeight="1">
      <c r="A100" s="4" t="inlineStr">
        <is>
          <t>V-07</t>
        </is>
      </c>
      <c r="B100" s="5" t="inlineStr">
        <is>
          <t>Visualización</t>
        </is>
      </c>
      <c r="C100" s="5" t="inlineStr">
        <is>
          <t>El mástil se readapta al redimensionar la ventana.</t>
        </is>
      </c>
      <c r="D100" s="5" t="inlineStr">
        <is>
          <t>Alta</t>
        </is>
      </c>
      <c r="E100" s="5" t="inlineStr">
        <is>
          <t>Cliente · listado 14/09</t>
        </is>
      </c>
      <c r="F100" s="5" t="inlineStr">
        <is>
          <t>F1</t>
        </is>
      </c>
      <c r="G100" s="5" t="inlineStr">
        <is>
          <t>F1.1</t>
        </is>
      </c>
      <c r="H100" s="5" t="inlineStr">
        <is>
          <t>D</t>
        </is>
      </c>
      <c r="I100" s="5" t="inlineStr">
        <is>
          <t>Al redimensionar la ventana el mástil se reajusta sin perder el tramo visible.</t>
        </is>
      </c>
      <c r="J100" s="5" t="inlineStr">
        <is>
          <t>Cumple</t>
        </is>
      </c>
      <c r="K100" s="5" t="inlineStr">
        <is>
          <t>0.1.0 **Validado en la Sesión 1** (20/10, informe `V-08`): A08.</t>
        </is>
      </c>
      <c r="L100" s="5" t="inlineStr">
        <is>
          <t>F1.1 #7 · Sesión 1: A08</t>
        </is>
      </c>
      <c r="M100" s="5" t="inlineStr">
        <is>
          <t>Verificado</t>
        </is>
      </c>
      <c r="N100" s="5" t="inlineStr">
        <is>
          <t>Cliente</t>
        </is>
      </c>
      <c r="O100" s="5" t="inlineStr"/>
      <c r="P100" s="6" t="n"/>
      <c r="Q100" s="5" t="inlineStr"/>
    </row>
    <row r="101" ht="33" customHeight="1">
      <c r="A101" s="4" t="inlineStr">
        <is>
          <t>V-08</t>
        </is>
      </c>
      <c r="B101" s="5" t="inlineStr">
        <is>
          <t>Visualización</t>
        </is>
      </c>
      <c r="C101" s="5" t="inlineStr">
        <is>
          <t>El nivel de zoom persiste entre sesiones.</t>
        </is>
      </c>
      <c r="D101" s="5" t="inlineStr">
        <is>
          <t>Baja</t>
        </is>
      </c>
      <c r="E101" s="5" t="inlineStr">
        <is>
          <t>Cliente · listado 14/09</t>
        </is>
      </c>
      <c r="F101" s="5" t="inlineStr">
        <is>
          <t>F1</t>
        </is>
      </c>
      <c r="G101" s="5" t="inlineStr">
        <is>
          <t>F1.1</t>
        </is>
      </c>
      <c r="H101" s="5" t="inlineStr">
        <is>
          <t>D</t>
        </is>
      </c>
      <c r="I101" s="5" t="inlineStr">
        <is>
          <t>El zoom se mantiene tras recargar y tras girar el móvil.</t>
        </is>
      </c>
      <c r="J101" s="5" t="inlineStr">
        <is>
          <t>Cumple</t>
        </is>
      </c>
      <c r="K101" s="5" t="inlineStr">
        <is>
          <t>0.1.0</t>
        </is>
      </c>
      <c r="L101" s="5" t="inlineStr">
        <is>
          <t>F1.1 #13</t>
        </is>
      </c>
      <c r="M101" s="5" t="inlineStr">
        <is>
          <t>Pendiente</t>
        </is>
      </c>
      <c r="N101" s="5" t="inlineStr">
        <is>
          <t>Cliente</t>
        </is>
      </c>
      <c r="O101" s="5" t="inlineStr">
        <is>
          <t>Desde 0.1.1 girar el móvil ya no pisa el zoom elegido.</t>
        </is>
      </c>
      <c r="P101" s="6" t="n"/>
      <c r="Q101" s="5" t="inlineStr"/>
    </row>
    <row r="102" ht="63" customHeight="1">
      <c r="A102" s="4" t="inlineStr">
        <is>
          <t>V-09</t>
        </is>
      </c>
      <c r="B102" s="5" t="inlineStr">
        <is>
          <t>Visualización</t>
        </is>
      </c>
      <c r="C102" s="5" t="inlineStr">
        <is>
          <t>Al ocultar la numeración se puede conservar una referencia de tramo: el modo «Guía» deja solo los números de los trastes con marca.</t>
        </is>
      </c>
      <c r="D102" s="5" t="inlineStr">
        <is>
          <t>Media</t>
        </is>
      </c>
      <c r="E102" s="5" t="inlineStr">
        <is>
          <t>AR-01</t>
        </is>
      </c>
      <c r="F102" s="5" t="inlineStr">
        <is>
          <t>F1</t>
        </is>
      </c>
      <c r="G102" s="5" t="inlineStr">
        <is>
          <t>F1.3</t>
        </is>
      </c>
      <c r="H102" s="5" t="inlineStr">
        <is>
          <t>T</t>
        </is>
      </c>
      <c r="I102" s="5" t="inlineStr">
        <is>
          <t>El modo Guía mantiene visibles solo los números de los trastes con marca.</t>
        </is>
      </c>
      <c r="J102" s="5" t="inlineStr">
        <is>
          <t>Cumple</t>
        </is>
      </c>
      <c r="K102" s="5" t="inlineStr">
        <is>
          <t>0.1.2</t>
        </is>
      </c>
      <c r="L102" s="5" t="inlineStr">
        <is>
          <t>Banco (node --test) · F1.1 #11 · Sesión 1: A11</t>
        </is>
      </c>
      <c r="M102" s="5" t="inlineStr">
        <is>
          <t>Verificado</t>
        </is>
      </c>
      <c r="N102" s="5" t="inlineStr">
        <is>
          <t>Banco automático + auditor técnico</t>
        </is>
      </c>
      <c r="O102" s="5" t="inlineStr">
        <is>
          <t>Sin números, los trastes 5 y 17 llevan la misma marca y se confunden. Se descartó el minimapa por desproporcionado. Validado en la Sesión 1 (20/10, informe V-08): A11.</t>
        </is>
      </c>
      <c r="P102" s="6" t="n"/>
      <c r="Q102" s="5" t="inlineStr"/>
    </row>
    <row r="103" ht="108" customHeight="1">
      <c r="A103" s="4" t="inlineStr">
        <is>
          <t>C-01</t>
        </is>
      </c>
      <c r="B103" s="5" t="inlineStr">
        <is>
          <t>Configuración y navegación</t>
        </is>
      </c>
      <c r="C103" s="5" t="inlineStr">
        <is>
          <t>Menú de configuración accesible desde cualquier pantalla.</t>
        </is>
      </c>
      <c r="D103" s="5" t="inlineStr">
        <is>
          <t>Alta</t>
        </is>
      </c>
      <c r="E103" s="5" t="inlineStr">
        <is>
          <t>Cliente · listado 14/09</t>
        </is>
      </c>
      <c r="F103" s="5" t="inlineStr">
        <is>
          <t>F1</t>
        </is>
      </c>
      <c r="G103" s="5" t="inlineStr">
        <is>
          <t>F1.1</t>
        </is>
      </c>
      <c r="H103" s="5" t="inlineStr">
        <is>
          <t>D</t>
        </is>
      </c>
      <c r="I103" s="5" t="inlineStr">
        <is>
          <t>El botón de Ajustes abre el panel desde cualquier pantalla y Escape lo cierra.</t>
        </is>
      </c>
      <c r="J103" s="5" t="inlineStr">
        <is>
          <t>Cumple</t>
        </is>
      </c>
      <c r="K103" s="5" t="inlineStr">
        <is>
          <t>0.1.0</t>
        </is>
      </c>
      <c r="L103" s="5" t="inlineStr">
        <is>
          <t>F1.1 #14 · Sesión 1: A19 y C05</t>
        </is>
      </c>
      <c r="M103" s="5" t="inlineStr">
        <is>
          <t>Verificado</t>
        </is>
      </c>
      <c r="N103" s="5" t="inlineStr">
        <is>
          <t>Cliente</t>
        </is>
      </c>
      <c r="O103"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3" s="6" t="n"/>
      <c r="Q103" s="5" t="inlineStr"/>
    </row>
    <row r="104" ht="120" customHeight="1">
      <c r="A104" s="4" t="inlineStr">
        <is>
          <t>C-02</t>
        </is>
      </c>
      <c r="B104" s="5" t="inlineStr">
        <is>
          <t>Configuración y navegación</t>
        </is>
      </c>
      <c r="C104" s="5" t="inlineStr">
        <is>
          <t>El menú contiene nomenclatura, pentagrama, timbre, numeración de trastes (tres modos), ver todas las notas, señalar iguales y afinación activa, y muestra la versión de la app.</t>
        </is>
      </c>
      <c r="D104" s="5" t="inlineStr">
        <is>
          <t>Alta</t>
        </is>
      </c>
      <c r="E104" s="5" t="inlineStr">
        <is>
          <t>Cliente · listado 14/09</t>
        </is>
      </c>
      <c r="F104" s="5" t="inlineStr">
        <is>
          <t>F1</t>
        </is>
      </c>
      <c r="G104" s="5" t="inlineStr">
        <is>
          <t>F1.1</t>
        </is>
      </c>
      <c r="H104" s="5" t="inlineStr">
        <is>
          <t>I</t>
        </is>
      </c>
      <c r="I104" s="5" t="inlineStr">
        <is>
          <t>El panel contiene todos los ajustes listados, el idioma (0.4.2) y la versión de la app.</t>
        </is>
      </c>
      <c r="J104" s="5" t="inlineStr">
        <is>
          <t>Cumple</t>
        </is>
      </c>
      <c r="K104" s="5" t="inlineStr">
        <is>
          <t>0.1.0</t>
        </is>
      </c>
      <c r="L104" s="5" t="inlineStr">
        <is>
          <t>F1.1 #12 · Banco (node --test): grupo Idioma</t>
        </is>
      </c>
      <c r="M104" s="5" t="inlineStr">
        <is>
          <t>Pendiente</t>
        </is>
      </c>
      <c r="N104" s="5" t="inlineStr">
        <is>
          <t>Auditor de requisitos</t>
        </is>
      </c>
      <c r="O104"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4" s="6" t="n"/>
      <c r="Q104" s="5" t="inlineStr"/>
    </row>
    <row r="105" ht="78" customHeight="1">
      <c r="A105" s="4" t="inlineStr">
        <is>
          <t>C-03</t>
        </is>
      </c>
      <c r="B105" s="5" t="inlineStr">
        <is>
          <t>Configuración y navegación</t>
        </is>
      </c>
      <c r="C105" s="5" t="inlineStr">
        <is>
          <t>Los ajustes frecuentes tienen acceso rápido sin abrir el menú.</t>
        </is>
      </c>
      <c r="D105" s="5" t="inlineStr">
        <is>
          <t>Alta</t>
        </is>
      </c>
      <c r="E105" s="5" t="inlineStr">
        <is>
          <t>Cliente · listado 14/09</t>
        </is>
      </c>
      <c r="F105" s="5" t="inlineStr">
        <is>
          <t>F1</t>
        </is>
      </c>
      <c r="G105" s="5" t="inlineStr">
        <is>
          <t>F1.1</t>
        </is>
      </c>
      <c r="H105" s="5" t="inlineStr">
        <is>
          <t>D</t>
        </is>
      </c>
      <c r="I105" s="5" t="inlineStr">
        <is>
          <t>Nomenclatura, pentagrama y pistas tienen chips de acceso rápido.</t>
        </is>
      </c>
      <c r="J105" s="5" t="inlineStr">
        <is>
          <t>Cumple</t>
        </is>
      </c>
      <c r="K105" s="5" t="inlineStr">
        <is>
          <t>0.1.0</t>
        </is>
      </c>
      <c r="L105" s="5" t="inlineStr">
        <is>
          <t>F1.1 #14</t>
        </is>
      </c>
      <c r="M105" s="5" t="inlineStr">
        <is>
          <t>Pendiente</t>
        </is>
      </c>
      <c r="N105" s="5" t="inlineStr">
        <is>
          <t>Cliente</t>
        </is>
      </c>
      <c r="O105" s="5" t="inlineStr">
        <is>
          <t>Nomenclatura y pentagrama en chips bajo la cabecera, o en el panel en horizontal, donde el pentagrama se rotula con la clave de sol; las dos pistas del juego, en la tarjeta del reto (0.3.0).</t>
        </is>
      </c>
      <c r="P105" s="6" t="n"/>
      <c r="Q105" s="5" t="inlineStr"/>
    </row>
    <row r="106" ht="120" customHeight="1">
      <c r="A106" s="4" t="inlineStr">
        <is>
          <t>C-04</t>
        </is>
      </c>
      <c r="B106" s="5" t="inlineStr">
        <is>
          <t>Configuración y navegación</t>
        </is>
      </c>
      <c r="C106" s="5" t="inlineStr">
        <is>
          <t>Navegación principal clara entre las áreas de la app.</t>
        </is>
      </c>
      <c r="D106" s="5" t="inlineStr">
        <is>
          <t>Alta</t>
        </is>
      </c>
      <c r="E106" s="5" t="inlineStr">
        <is>
          <t>Cliente · 20/10 (interfaz.md v1.0)</t>
        </is>
      </c>
      <c r="F106" s="5" t="inlineStr">
        <is>
          <t>F1</t>
        </is>
      </c>
      <c r="G106" s="5" t="inlineStr">
        <is>
          <t>F1.1</t>
        </is>
      </c>
      <c r="H106" s="5" t="inlineStr">
        <is>
          <t>D</t>
        </is>
      </c>
      <c r="I106" s="5" t="inlineStr">
        <is>
          <t>La navegación (barra inferior, raíl o pestañas en la cabecera, según la disposición) lleva a cada área con un toque.</t>
        </is>
      </c>
      <c r="J106" s="5" t="inlineStr">
        <is>
          <t>Cumple</t>
        </is>
      </c>
      <c r="K106" s="5" t="inlineStr">
        <is>
          <t>0.1.0</t>
        </is>
      </c>
      <c r="L106" s="5" t="inlineStr">
        <is>
          <t>F1.1 #14 · 0.5.5: comprobar-disposicion, seis pestañas sin salirse ni pisar el nombre · Sesión 1: A19</t>
        </is>
      </c>
      <c r="M106" s="5" t="inlineStr">
        <is>
          <t>Verificado</t>
        </is>
      </c>
      <c r="N106" s="5" t="inlineStr">
        <is>
          <t>Cliente</t>
        </is>
      </c>
      <c r="O106"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6" s="6" t="n"/>
      <c r="Q106" s="5" t="inlineStr"/>
    </row>
    <row r="107" ht="48" customHeight="1">
      <c r="A107" s="4" t="inlineStr">
        <is>
          <t>C-05</t>
        </is>
      </c>
      <c r="B107" s="5" t="inlineStr">
        <is>
          <t>Configuración y navegación</t>
        </is>
      </c>
      <c r="C107" s="5" t="inlineStr">
        <is>
          <t>Todos los ajustes persisten entre sesiones.</t>
        </is>
      </c>
      <c r="D107" s="5" t="inlineStr">
        <is>
          <t>Media</t>
        </is>
      </c>
      <c r="E107" s="5" t="inlineStr">
        <is>
          <t>Cliente · listado 14/09</t>
        </is>
      </c>
      <c r="F107" s="5" t="inlineStr">
        <is>
          <t>F1</t>
        </is>
      </c>
      <c r="G107" s="5" t="inlineStr">
        <is>
          <t>F1.1</t>
        </is>
      </c>
      <c r="H107" s="5" t="inlineStr">
        <is>
          <t>T</t>
        </is>
      </c>
      <c r="I107" s="5" t="inlineStr">
        <is>
          <t>Todos los ajustes persisten tras recargar, y unos ajustes corruptos o antiguos no rompen la app.</t>
        </is>
      </c>
      <c r="J107" s="5" t="inlineStr">
        <is>
          <t>Cumple</t>
        </is>
      </c>
      <c r="K107" s="5" t="inlineStr">
        <is>
          <t>0.1.0</t>
        </is>
      </c>
      <c r="L107" s="5" t="inlineStr">
        <is>
          <t>Banco (node --test): migración · F1.1 #13 · Sesión 1: A14 y A15</t>
        </is>
      </c>
      <c r="M107" s="5" t="inlineStr">
        <is>
          <t>Verificado</t>
        </is>
      </c>
      <c r="N107" s="5" t="inlineStr">
        <is>
          <t>Banco automático + auditor técnico</t>
        </is>
      </c>
      <c r="O107" s="5" t="inlineStr">
        <is>
          <t>Un único objeto de estado, validado campo a campo al leerlo (0.1.1). Validado en la Sesión 1 (20/10, informe V-08): A14 y A15.</t>
        </is>
      </c>
      <c r="P107" s="6" t="n"/>
      <c r="Q107" s="5" t="inlineStr"/>
    </row>
    <row r="108" ht="93" customHeight="1">
      <c r="A108" s="4" t="inlineStr">
        <is>
          <t>C-06</t>
        </is>
      </c>
      <c r="B108" s="5" t="inlineStr">
        <is>
          <t>Configuración y navegación</t>
        </is>
      </c>
      <c r="C108" s="5" t="inlineStr">
        <is>
          <t>Especificación detallada de la interfaz: estructura de menús, jerarquía de controles y flujos de navegación.</t>
        </is>
      </c>
      <c r="D108" s="5" t="inlineStr">
        <is>
          <t>Alta</t>
        </is>
      </c>
      <c r="E108" s="5" t="inlineStr">
        <is>
          <t>Cliente · listado 14/09</t>
        </is>
      </c>
      <c r="F108" s="5" t="inlineStr">
        <is>
          <t>F3</t>
        </is>
      </c>
      <c r="G108" s="5" t="inlineStr">
        <is>
          <t>F3.1</t>
        </is>
      </c>
      <c r="H108" s="5" t="inlineStr">
        <is>
          <t>I</t>
        </is>
      </c>
      <c r="I108" s="5" t="inlineStr">
        <is>
          <t>interfaz.md aprobado por el cliente y revisado por el auditor de requisitos.</t>
        </is>
      </c>
      <c r="J108" s="5" t="inlineStr">
        <is>
          <t>Cumple</t>
        </is>
      </c>
      <c r="K108" s="5" t="inlineStr">
        <is>
          <t>0.2.3</t>
        </is>
      </c>
      <c r="L108" s="5" t="inlineStr">
        <is>
          <t>interfaz.md v1.0 · AR-04 · aprobación del cliente el 20/10</t>
        </is>
      </c>
      <c r="M108" s="5" t="inlineStr">
        <is>
          <t>Verificado</t>
        </is>
      </c>
      <c r="N108" s="5" t="inlineStr">
        <is>
          <t>Auditor de requisitos</t>
        </is>
      </c>
      <c r="O108" s="5" t="inlineStr">
        <is>
          <t>docs/interfaz.md v1.0, aprobada por ti el 20/10 tras la auditoría AR-04 (10 hallazgos resueltos). Bocetos al tamaño real de cada pantalla en docs/interfaz/, comprobados por herramientas/capturar-wireframes.js. Los cambios posteriores suben su versión.</t>
        </is>
      </c>
      <c r="P108" s="6" t="n"/>
      <c r="Q108" s="5" t="inlineStr"/>
    </row>
    <row r="109" ht="120" customHeight="1">
      <c r="A109" s="4" t="inlineStr">
        <is>
          <t>C-07</t>
        </is>
      </c>
      <c r="B109" s="5" t="inlineStr">
        <is>
          <t>Configuración y navegación</t>
        </is>
      </c>
      <c r="C109" s="5" t="inlineStr">
        <is>
          <t>Botón «atrás» del sistema: mientras haya un paso anterior en la sesión, el botón o gesto «atrás» cierra Ajustes o vuelve al área anterior; desde la primera área actúa el sistema. Al abrir la app se entra en Libre.</t>
        </is>
      </c>
      <c r="D109" s="5" t="inlineStr">
        <is>
          <t>Media</t>
        </is>
      </c>
      <c r="E109" s="5" t="inlineStr">
        <is>
          <t>Cliente · 20/10 (interfaz.md v1.0)</t>
        </is>
      </c>
      <c r="F109" s="5" t="inlineStr">
        <is>
          <t>F3</t>
        </is>
      </c>
      <c r="G109" s="5" t="inlineStr">
        <is>
          <t>F3.2</t>
        </is>
      </c>
      <c r="H109" s="5" t="inlineStr">
        <is>
          <t>D</t>
        </is>
      </c>
      <c r="I109" s="5" t="inlineStr">
        <is>
          <t>Con un paso anterior en la sesión, «atrás» cierra Ajustes o vuelve al área anterior; desde la primera área actúa el sistema; al abrir o recargar se entra en Libre. Prueba manual en Windows y en el simulador de Android de Chrome.</t>
        </is>
      </c>
      <c r="J109" s="5" t="inlineStr">
        <is>
          <t>Cumple</t>
        </is>
      </c>
      <c r="K109" s="5" t="inlineStr">
        <is>
          <t>0.3.0</t>
        </is>
      </c>
      <c r="L109" s="5" t="inlineStr">
        <is>
          <t>Banco (node --test): historial simulado con popstate (3 pruebas) · Sesión 1: A17</t>
        </is>
      </c>
      <c r="M109" s="5" t="inlineStr">
        <is>
          <t>Verificado</t>
        </is>
      </c>
      <c r="N109" s="5" t="inlineStr">
        <is>
          <t>Cliente</t>
        </is>
      </c>
      <c r="O109"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9" s="6" t="n"/>
      <c r="Q109" s="5" t="inlineStr"/>
    </row>
    <row r="110" ht="93" customHeight="1">
      <c r="A110" s="4" t="inlineStr">
        <is>
          <t>C-08</t>
        </is>
      </c>
      <c r="B110" s="5" t="inlineStr">
        <is>
          <t>Configuración y navegación</t>
        </is>
      </c>
      <c r="C110" s="5" t="inlineStr">
        <is>
          <t>Menú Personalización dentro de Ajustes: estilos de nota en el mástil (círculo de color o solo el nombre, más grande o en negrita), estilo del traste y del mástil, interior claro para «Ver todas las notas» y temas de color de la app.</t>
        </is>
      </c>
      <c r="D110" s="5" t="inlineStr">
        <is>
          <t>Media</t>
        </is>
      </c>
      <c r="E110" s="5" t="inlineStr">
        <is>
          <t>Cliente · listado 14/09</t>
        </is>
      </c>
      <c r="F110" s="5" t="inlineStr">
        <is>
          <t>Posterior</t>
        </is>
      </c>
      <c r="G110" s="5" t="inlineStr">
        <is>
          <t>Posterior</t>
        </is>
      </c>
      <c r="H110" s="5" t="inlineStr">
        <is>
          <t>N/A</t>
        </is>
      </c>
      <c r="I110" s="5" t="inlineStr">
        <is>
          <t>Fuera del alcance actual.</t>
        </is>
      </c>
      <c r="J110" s="5" t="inlineStr">
        <is>
          <t>No aplica</t>
        </is>
      </c>
      <c r="K110" s="5" t="inlineStr">
        <is>
          <t>—</t>
        </is>
      </c>
      <c r="L110" s="5" t="inlineStr">
        <is>
          <t>—</t>
        </is>
      </c>
      <c r="M110" s="5" t="inlineStr">
        <is>
          <t>No aplica</t>
        </is>
      </c>
      <c r="N110" s="5" t="inlineStr">
        <is>
          <t>—</t>
        </is>
      </c>
      <c r="O110" s="5" t="inlineStr">
        <is>
          <t>Tus comentarios de la Sesión 1 (A10, C06 y E06), para una actualización posterior. La paleta por nota de G-05 se mantiene como punto de partida.</t>
        </is>
      </c>
      <c r="P110" s="6" t="n"/>
      <c r="Q110" s="5" t="inlineStr"/>
    </row>
    <row r="111" ht="78" customHeight="1">
      <c r="A111" s="4" t="inlineStr">
        <is>
          <t>X-01</t>
        </is>
      </c>
      <c r="B111" s="5" t="inlineStr">
        <is>
          <t>Respaldo y publicación</t>
        </is>
      </c>
      <c r="C111" s="5" t="inlineStr">
        <is>
          <t>El código y la documentación están respaldados en el repositorio remoto (GitHub). Respaldar no es publicar.</t>
        </is>
      </c>
      <c r="D111" s="5" t="inlineStr">
        <is>
          <t>Alta</t>
        </is>
      </c>
      <c r="E111" s="5" t="inlineStr">
        <is>
          <t>Desarrollo · v1.1</t>
        </is>
      </c>
      <c r="F111" s="5" t="inlineStr">
        <is>
          <t>F1</t>
        </is>
      </c>
      <c r="G111" s="5" t="inlineStr">
        <is>
          <t>F1.2 · F1.4</t>
        </is>
      </c>
      <c r="H111" s="5" t="inlineStr">
        <is>
          <t>I</t>
        </is>
      </c>
      <c r="I111" s="5" t="inlineStr">
        <is>
          <t>GitHub muestra la última versión en main, entrada por pull request aprobado, y la etiqueta de cierre de fase.</t>
        </is>
      </c>
      <c r="J111" s="5" t="inlineStr">
        <is>
          <t>Cumple</t>
        </is>
      </c>
      <c r="K111" s="5" t="inlineStr">
        <is>
          <t>0.1.4</t>
        </is>
      </c>
      <c r="L111" s="5" t="inlineStr">
        <is>
          <t>PR #1 a #5 fusionados · etiqueta v0.1.5</t>
        </is>
      </c>
      <c r="M111" s="5" t="inlineStr">
        <is>
          <t>Verificado parcialmente</t>
        </is>
      </c>
      <c r="N111" s="5" t="inlineStr">
        <is>
          <t>Auditor de requisitos</t>
        </is>
      </c>
      <c r="O111" s="5" t="inlineStr">
        <is>
          <t>Desde el 15/10 todo el proyecto está en pdigue/guitarra; cada versión entra por pull request aprobado (del #1 al #5) y F1 se cerró con la etiqueta v0.1.5. El repositorio es público.</t>
        </is>
      </c>
      <c r="P111" s="6" t="n"/>
      <c r="Q111" s="5" t="inlineStr"/>
    </row>
    <row r="112" ht="120" customHeight="1">
      <c r="A112" s="4" t="inlineStr">
        <is>
          <t>X-02</t>
        </is>
      </c>
      <c r="B112" s="5" t="inlineStr">
        <is>
          <t>Respaldo y publicación</t>
        </is>
      </c>
      <c r="C112" s="5" t="inlineStr">
        <is>
          <t>La app está publicada en una URL pública (GitHub Pages).</t>
        </is>
      </c>
      <c r="D112" s="5" t="inlineStr">
        <is>
          <t>Alta</t>
        </is>
      </c>
      <c r="E112" s="5" t="inlineStr">
        <is>
          <t>Desarrollo · v1.1</t>
        </is>
      </c>
      <c r="F112" s="5" t="inlineStr">
        <is>
          <t>F7</t>
        </is>
      </c>
      <c r="G112" s="5" t="inlineStr">
        <is>
          <t>F7.1</t>
        </is>
      </c>
      <c r="H112" s="5" t="inlineStr">
        <is>
          <t>D</t>
        </is>
      </c>
      <c r="I112" s="5" t="inlineStr">
        <is>
          <t>La URL pública carga la app desde un dispositivo ajeno al proyecto.</t>
        </is>
      </c>
      <c r="J112" s="5" t="inlineStr">
        <is>
          <t>No cumple</t>
        </is>
      </c>
      <c r="K112" s="5" t="inlineStr">
        <is>
          <t>—</t>
        </is>
      </c>
      <c r="L112" s="5" t="inlineStr">
        <is>
          <t>—</t>
        </is>
      </c>
      <c r="M112" s="5" t="inlineStr">
        <is>
          <t>Pendiente</t>
        </is>
      </c>
      <c r="N112" s="5" t="inlineStr">
        <is>
          <t>Cliente</t>
        </is>
      </c>
      <c r="O112"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2" s="6" t="n"/>
      <c r="Q112" s="5" t="inlineStr"/>
    </row>
    <row r="113" ht="33" customHeight="1">
      <c r="A113" s="4" t="inlineStr">
        <is>
          <t>X-03</t>
        </is>
      </c>
      <c r="B113" s="5" t="inlineStr">
        <is>
          <t>Respaldo y publicación</t>
        </is>
      </c>
      <c r="C113" s="5" t="inlineStr">
        <is>
          <t>La app está verificada en móviles reales, instalada como icono desde la web publicada.</t>
        </is>
      </c>
      <c r="D113" s="5" t="inlineStr">
        <is>
          <t>Alta</t>
        </is>
      </c>
      <c r="E113" s="5" t="inlineStr">
        <is>
          <t>Desarrollo · v1.1</t>
        </is>
      </c>
      <c r="F113" s="5" t="inlineStr">
        <is>
          <t>F7</t>
        </is>
      </c>
      <c r="G113" s="5" t="inlineStr">
        <is>
          <t>F7.2</t>
        </is>
      </c>
      <c r="H113" s="5" t="inlineStr">
        <is>
          <t>D</t>
        </is>
      </c>
      <c r="I113" s="5" t="inlineStr">
        <is>
          <t>La app instalada desde la web funciona en un Android, un iPhone y un Windows reales.</t>
        </is>
      </c>
      <c r="J113" s="5" t="inlineStr">
        <is>
          <t>No cumple</t>
        </is>
      </c>
      <c r="K113" s="5" t="inlineStr">
        <is>
          <t>—</t>
        </is>
      </c>
      <c r="L113" s="5" t="inlineStr">
        <is>
          <t>—</t>
        </is>
      </c>
      <c r="M113" s="5" t="inlineStr">
        <is>
          <t>Pendiente</t>
        </is>
      </c>
      <c r="N113" s="5" t="inlineStr">
        <is>
          <t>Cliente</t>
        </is>
      </c>
      <c r="O113" s="5" t="inlineStr">
        <is>
          <t>Cierra G-04 y PL-01 a PL-03 en su modo web.</t>
        </is>
      </c>
      <c r="P113" s="6" t="n"/>
      <c r="Q113" s="5" t="inlineStr"/>
    </row>
  </sheetData>
  <autoFilter ref="A4:Q113"/>
  <conditionalFormatting sqref="J5:J113">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3">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3" showDropDown="0" showInputMessage="0" showErrorMessage="0" allowBlank="0" errorTitle="Valor no válido" error="Elige un valor de la lista. Están descritos en la hoja Leyenda." type="list">
      <formula1>"Cumple,Cumple parcialmente,No cumple,No aplica"</formula1>
    </dataValidation>
    <dataValidation sqref="M5:M113" showDropDown="0" showInputMessage="0" showErrorMessage="0" allowBlank="0" errorTitle="Valor no válido" error="Elige un valor de la lista. Están descritos en la hoja Leyenda." type="list">
      <formula1>"Verificado,Verificado parcialmente,Pendiente,No aplica"</formula1>
    </dataValidation>
    <dataValidation sqref="H5:H113"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COUNTIF(Matriz!$F$5:$F$113,"*F1*")</f>
        <v/>
      </c>
      <c r="C5" s="7">
        <f>COUNTIFS(Matriz!$F$5:$F$113,"*F1*",Matriz!$J$5:$J$113,"Cumple")</f>
        <v/>
      </c>
      <c r="D5" s="7">
        <f>COUNTIFS(Matriz!$F$5:$F$113,"*F1*",Matriz!$J$5:$J$113,"Cumple parcialmente")</f>
        <v/>
      </c>
      <c r="E5" s="7">
        <f>COUNTIFS(Matriz!$F$5:$F$113,"*F1*",Matriz!$J$5:$J$113,"No cumple")</f>
        <v/>
      </c>
      <c r="F5" s="7">
        <f>COUNTIFS(Matriz!$F$5:$F$113,"*F1*",Matriz!$J$5:$J$113,"No aplica")</f>
        <v/>
      </c>
      <c r="G5" s="8">
        <f>IFERROR(C5/B5,0)</f>
        <v/>
      </c>
      <c r="H5" s="7">
        <f>COUNTIFS(Matriz!$F$5:$F$113,"*F1*",Matriz!$M$5:$M$113,"Verificado")</f>
        <v/>
      </c>
      <c r="I5" s="7">
        <f>COUNTIFS(Matriz!$F$5:$F$113,"*F1*",Matriz!$M$5:$M$113,"Verificado parcialmente")</f>
        <v/>
      </c>
    </row>
    <row r="6">
      <c r="A6" s="7" t="inlineStr">
        <is>
          <t>F2 · Sonido propio y archivo autónomo</t>
        </is>
      </c>
      <c r="B6" s="7">
        <f>COUNTIF(Matriz!$F$5:$F$113,"*F2*")</f>
        <v/>
      </c>
      <c r="C6" s="7">
        <f>COUNTIFS(Matriz!$F$5:$F$113,"*F2*",Matriz!$J$5:$J$113,"Cumple")</f>
        <v/>
      </c>
      <c r="D6" s="7">
        <f>COUNTIFS(Matriz!$F$5:$F$113,"*F2*",Matriz!$J$5:$J$113,"Cumple parcialmente")</f>
        <v/>
      </c>
      <c r="E6" s="7">
        <f>COUNTIFS(Matriz!$F$5:$F$113,"*F2*",Matriz!$J$5:$J$113,"No cumple")</f>
        <v/>
      </c>
      <c r="F6" s="7">
        <f>COUNTIFS(Matriz!$F$5:$F$113,"*F2*",Matriz!$J$5:$J$113,"No aplica")</f>
        <v/>
      </c>
      <c r="G6" s="8">
        <f>IFERROR(C6/B6,0)</f>
        <v/>
      </c>
      <c r="H6" s="7">
        <f>COUNTIFS(Matriz!$F$5:$F$113,"*F2*",Matriz!$M$5:$M$113,"Verificado")</f>
        <v/>
      </c>
      <c r="I6" s="7">
        <f>COUNTIFS(Matriz!$F$5:$F$113,"*F2*",Matriz!$M$5:$M$113,"Verificado parcialmente")</f>
        <v/>
      </c>
    </row>
    <row r="7">
      <c r="A7" s="7" t="inlineStr">
        <is>
          <t>F3 · Interfaz y adaptación</t>
        </is>
      </c>
      <c r="B7" s="7">
        <f>COUNTIF(Matriz!$F$5:$F$113,"*F3*")</f>
        <v/>
      </c>
      <c r="C7" s="7">
        <f>COUNTIFS(Matriz!$F$5:$F$113,"*F3*",Matriz!$J$5:$J$113,"Cumple")</f>
        <v/>
      </c>
      <c r="D7" s="7">
        <f>COUNTIFS(Matriz!$F$5:$F$113,"*F3*",Matriz!$J$5:$J$113,"Cumple parcialmente")</f>
        <v/>
      </c>
      <c r="E7" s="7">
        <f>COUNTIFS(Matriz!$F$5:$F$113,"*F3*",Matriz!$J$5:$J$113,"No cumple")</f>
        <v/>
      </c>
      <c r="F7" s="7">
        <f>COUNTIFS(Matriz!$F$5:$F$113,"*F3*",Matriz!$J$5:$J$113,"No aplica")</f>
        <v/>
      </c>
      <c r="G7" s="8">
        <f>IFERROR(C7/B7,0)</f>
        <v/>
      </c>
      <c r="H7" s="7">
        <f>COUNTIFS(Matriz!$F$5:$F$113,"*F3*",Matriz!$M$5:$M$113,"Verificado")</f>
        <v/>
      </c>
      <c r="I7" s="7">
        <f>COUNTIFS(Matriz!$F$5:$F$113,"*F3*",Matriz!$M$5:$M$113,"Verificado parcialmente")</f>
        <v/>
      </c>
    </row>
    <row r="8">
      <c r="A8" s="7" t="inlineStr">
        <is>
          <t>F4 · Afinador por micrófono</t>
        </is>
      </c>
      <c r="B8" s="7">
        <f>COUNTIF(Matriz!$F$5:$F$113,"*F4*")</f>
        <v/>
      </c>
      <c r="C8" s="7">
        <f>COUNTIFS(Matriz!$F$5:$F$113,"*F4*",Matriz!$J$5:$J$113,"Cumple")</f>
        <v/>
      </c>
      <c r="D8" s="7">
        <f>COUNTIFS(Matriz!$F$5:$F$113,"*F4*",Matriz!$J$5:$J$113,"Cumple parcialmente")</f>
        <v/>
      </c>
      <c r="E8" s="7">
        <f>COUNTIFS(Matriz!$F$5:$F$113,"*F4*",Matriz!$J$5:$J$113,"No cumple")</f>
        <v/>
      </c>
      <c r="F8" s="7">
        <f>COUNTIFS(Matriz!$F$5:$F$113,"*F4*",Matriz!$J$5:$J$113,"No aplica")</f>
        <v/>
      </c>
      <c r="G8" s="8">
        <f>IFERROR(C8/B8,0)</f>
        <v/>
      </c>
      <c r="H8" s="7">
        <f>COUNTIFS(Matriz!$F$5:$F$113,"*F4*",Matriz!$M$5:$M$113,"Verificado")</f>
        <v/>
      </c>
      <c r="I8" s="7">
        <f>COUNTIFS(Matriz!$F$5:$F$113,"*F4*",Matriz!$M$5:$M$113,"Verificado parcialmente")</f>
        <v/>
      </c>
    </row>
    <row r="9">
      <c r="A9" s="7" t="inlineStr">
        <is>
          <t>F5 · Escalas, metrónomo y acordes</t>
        </is>
      </c>
      <c r="B9" s="7">
        <f>COUNTIF(Matriz!$F$5:$F$113,"*F5*")</f>
        <v/>
      </c>
      <c r="C9" s="7">
        <f>COUNTIFS(Matriz!$F$5:$F$113,"*F5*",Matriz!$J$5:$J$113,"Cumple")</f>
        <v/>
      </c>
      <c r="D9" s="7">
        <f>COUNTIFS(Matriz!$F$5:$F$113,"*F5*",Matriz!$J$5:$J$113,"Cumple parcialmente")</f>
        <v/>
      </c>
      <c r="E9" s="7">
        <f>COUNTIFS(Matriz!$F$5:$F$113,"*F5*",Matriz!$J$5:$J$113,"No cumple")</f>
        <v/>
      </c>
      <c r="F9" s="7">
        <f>COUNTIFS(Matriz!$F$5:$F$113,"*F5*",Matriz!$J$5:$J$113,"No aplica")</f>
        <v/>
      </c>
      <c r="G9" s="8">
        <f>IFERROR(C9/B9,0)</f>
        <v/>
      </c>
      <c r="H9" s="7">
        <f>COUNTIFS(Matriz!$F$5:$F$113,"*F5*",Matriz!$M$5:$M$113,"Verificado")</f>
        <v/>
      </c>
      <c r="I9" s="7">
        <f>COUNTIFS(Matriz!$F$5:$F$113,"*F5*",Matriz!$M$5:$M$113,"Verificado parcialmente")</f>
        <v/>
      </c>
    </row>
    <row r="10">
      <c r="A10" s="7" t="inlineStr">
        <is>
          <t>F6 · Preparación para distribución</t>
        </is>
      </c>
      <c r="B10" s="7">
        <f>COUNTIF(Matriz!$F$5:$F$113,"*F6*")</f>
        <v/>
      </c>
      <c r="C10" s="7">
        <f>COUNTIFS(Matriz!$F$5:$F$113,"*F6*",Matriz!$J$5:$J$113,"Cumple")</f>
        <v/>
      </c>
      <c r="D10" s="7">
        <f>COUNTIFS(Matriz!$F$5:$F$113,"*F6*",Matriz!$J$5:$J$113,"Cumple parcialmente")</f>
        <v/>
      </c>
      <c r="E10" s="7">
        <f>COUNTIFS(Matriz!$F$5:$F$113,"*F6*",Matriz!$J$5:$J$113,"No cumple")</f>
        <v/>
      </c>
      <c r="F10" s="7">
        <f>COUNTIFS(Matriz!$F$5:$F$113,"*F6*",Matriz!$J$5:$J$113,"No aplica")</f>
        <v/>
      </c>
      <c r="G10" s="8">
        <f>IFERROR(C10/B10,0)</f>
        <v/>
      </c>
      <c r="H10" s="7">
        <f>COUNTIFS(Matriz!$F$5:$F$113,"*F6*",Matriz!$M$5:$M$113,"Verificado")</f>
        <v/>
      </c>
      <c r="I10" s="7">
        <f>COUNTIFS(Matriz!$F$5:$F$113,"*F6*",Matriz!$M$5:$M$113,"Verificado parcialmente")</f>
        <v/>
      </c>
    </row>
    <row r="11">
      <c r="A11" s="7" t="inlineStr">
        <is>
          <t>F7 · Publicación y lanzamiento</t>
        </is>
      </c>
      <c r="B11" s="7">
        <f>COUNTIF(Matriz!$F$5:$F$113,"*F7*")</f>
        <v/>
      </c>
      <c r="C11" s="7">
        <f>COUNTIFS(Matriz!$F$5:$F$113,"*F7*",Matriz!$J$5:$J$113,"Cumple")</f>
        <v/>
      </c>
      <c r="D11" s="7">
        <f>COUNTIFS(Matriz!$F$5:$F$113,"*F7*",Matriz!$J$5:$J$113,"Cumple parcialmente")</f>
        <v/>
      </c>
      <c r="E11" s="7">
        <f>COUNTIFS(Matriz!$F$5:$F$113,"*F7*",Matriz!$J$5:$J$113,"No cumple")</f>
        <v/>
      </c>
      <c r="F11" s="7">
        <f>COUNTIFS(Matriz!$F$5:$F$113,"*F7*",Matriz!$J$5:$J$113,"No aplica")</f>
        <v/>
      </c>
      <c r="G11" s="8">
        <f>IFERROR(C11/B11,0)</f>
        <v/>
      </c>
      <c r="H11" s="7">
        <f>COUNTIFS(Matriz!$F$5:$F$113,"*F7*",Matriz!$M$5:$M$113,"Verificado")</f>
        <v/>
      </c>
      <c r="I11" s="7">
        <f>COUNTIFS(Matriz!$F$5:$F$113,"*F7*",Matriz!$M$5:$M$113,"Verificado parcialmente")</f>
        <v/>
      </c>
    </row>
    <row r="12">
      <c r="A12" s="7" t="inlineStr">
        <is>
          <t>Posterior · fuera de alcance</t>
        </is>
      </c>
      <c r="B12" s="7">
        <f>COUNTIF(Matriz!$F$5:$F$113,"*Posterior*")</f>
        <v/>
      </c>
      <c r="C12" s="7">
        <f>COUNTIFS(Matriz!$F$5:$F$113,"*Posterior*",Matriz!$J$5:$J$113,"Cumple")</f>
        <v/>
      </c>
      <c r="D12" s="7">
        <f>COUNTIFS(Matriz!$F$5:$F$113,"*Posterior*",Matriz!$J$5:$J$113,"Cumple parcialmente")</f>
        <v/>
      </c>
      <c r="E12" s="7">
        <f>COUNTIFS(Matriz!$F$5:$F$113,"*Posterior*",Matriz!$J$5:$J$113,"No cumple")</f>
        <v/>
      </c>
      <c r="F12" s="7">
        <f>COUNTIFS(Matriz!$F$5:$F$113,"*Posterior*",Matriz!$J$5:$J$113,"No aplica")</f>
        <v/>
      </c>
      <c r="G12" s="8">
        <f>IFERROR(C12/B12,0)</f>
        <v/>
      </c>
      <c r="H12" s="7">
        <f>COUNTIFS(Matriz!$F$5:$F$113,"*Posterior*",Matriz!$M$5:$M$113,"Verificado")</f>
        <v/>
      </c>
      <c r="I12" s="7">
        <f>COUNTIFS(Matriz!$F$5:$F$113,"*Posterior*",Matriz!$M$5:$M$113,"Verificado parcialmente")</f>
        <v/>
      </c>
    </row>
    <row r="13">
      <c r="A13" s="9" t="inlineStr">
        <is>
          <t>Total del producto</t>
        </is>
      </c>
      <c r="B13" s="9">
        <f>COUNTA(Matriz!$A$5:$A$113)</f>
        <v/>
      </c>
      <c r="C13" s="9">
        <f>COUNTIF(Matriz!$J$5:$J$113,"Cumple")</f>
        <v/>
      </c>
      <c r="D13" s="9">
        <f>COUNTIF(Matriz!$J$5:$J$113,"Cumple parcialmente")</f>
        <v/>
      </c>
      <c r="E13" s="9">
        <f>COUNTIF(Matriz!$J$5:$J$113,"No cumple")</f>
        <v/>
      </c>
      <c r="F13" s="9">
        <f>COUNTIF(Matriz!$J$5:$J$113,"No aplica")</f>
        <v/>
      </c>
      <c r="G13" s="10">
        <f>IFERROR(C13/B13,0)</f>
        <v/>
      </c>
      <c r="H13" s="9">
        <f>COUNTIF(Matriz!$M$5:$M$113,"Verificado")</f>
        <v/>
      </c>
      <c r="I13" s="9">
        <f>COUNTIF(Matriz!$M$5:$M$113,"Verificado parcialmente")</f>
        <v/>
      </c>
    </row>
    <row r="15">
      <c r="A15" s="11" t="inlineStr">
        <is>
          <t>Por método de verificación</t>
        </is>
      </c>
    </row>
    <row r="16">
      <c r="A16" s="12" t="inlineStr">
        <is>
          <t>I · Inspección</t>
        </is>
      </c>
      <c r="B16" s="12">
        <f>COUNTIF(Matriz!$H$5:$H$113,"I")</f>
        <v/>
      </c>
    </row>
    <row r="17">
      <c r="A17" s="12" t="inlineStr">
        <is>
          <t>A · Análisis</t>
        </is>
      </c>
      <c r="B17" s="12">
        <f>COUNTIF(Matriz!$H$5:$H$113,"A")</f>
        <v/>
      </c>
    </row>
    <row r="18">
      <c r="A18" s="12" t="inlineStr">
        <is>
          <t>D · Demostración</t>
        </is>
      </c>
      <c r="B18" s="12">
        <f>COUNTIF(Matriz!$H$5:$H$113,"D")</f>
        <v/>
      </c>
    </row>
    <row r="19">
      <c r="A19" s="12" t="inlineStr">
        <is>
          <t>T · Prueba</t>
        </is>
      </c>
      <c r="B19" s="12">
        <f>COUNTIF(Matriz!$H$5:$H$113,"T")</f>
        <v/>
      </c>
    </row>
    <row r="20">
      <c r="A20" s="12" t="inlineStr">
        <is>
          <t>I+T · Inspección y prueba</t>
        </is>
      </c>
      <c r="B20" s="12">
        <f>COUNTIF(Matriz!$H$5:$H$113,"I+T")</f>
        <v/>
      </c>
    </row>
    <row r="21">
      <c r="A21" s="12" t="inlineStr">
        <is>
          <t>N/A · No aplica</t>
        </is>
      </c>
      <c r="B21" s="12">
        <f>COUNTIF(Matriz!$H$5:$H$113,"N/A")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1.23</t>
        </is>
      </c>
      <c r="B2" s="14" t="inlineStr">
        <is>
          <t>22/10/2026</t>
        </is>
      </c>
      <c r="C2" s="14" t="inlineStr">
        <is>
          <t>v1.25</t>
        </is>
      </c>
      <c r="D2" s="14" t="inlineStr">
        <is>
          <t>0.6.0</t>
        </is>
      </c>
      <c r="E2" s="14" t="inlineStr">
        <is>
          <t>F6.1: G-08 cumple y queda verificado por el banco, que pasa las pruebas que arrancan la app contra la app de varios archivos y contra el archivo autónomo (AR-13 y AT-12).</t>
        </is>
      </c>
    </row>
    <row r="3" ht="46" customHeight="1">
      <c r="A3" s="14" t="inlineStr">
        <is>
          <t>1.22</t>
        </is>
      </c>
      <c r="B3" s="14" t="inlineStr">
        <is>
          <t>22/10/2026</t>
        </is>
      </c>
      <c r="C3" s="14" t="inlineStr">
        <is>
          <t>v1.24</t>
        </is>
      </c>
      <c r="D3" s="14" t="inlineStr">
        <is>
          <t>0.5.7</t>
        </is>
      </c>
      <c r="E3" s="14" t="inlineStr">
        <is>
          <t>Punto de control CP-5 (AR-12 y AT-11): una sola vara para lo que compruebas tú. E-01, E-02, E-03, E-04, E-06, P-03, MT-01, MT-05, AC-02 y AC-03, verificados parcialmente hasta la Sesión 2; MT-04, arranque con el audio en pausa (0.5.7); lo pendiente de CP-5, en el comentario de su requisito.</t>
        </is>
      </c>
    </row>
    <row r="4" ht="46" customHeight="1">
      <c r="A4" s="14" t="inlineStr">
        <is>
          <t>1.21</t>
        </is>
      </c>
      <c r="B4" s="14" t="inlineStr">
        <is>
          <t>21/10/2026</t>
        </is>
      </c>
      <c r="C4" s="14" t="inlineStr">
        <is>
          <t>v1.23</t>
        </is>
      </c>
      <c r="D4" s="14" t="inlineStr">
        <is>
          <t>0.5.6</t>
        </is>
      </c>
      <c r="E4" s="14" t="inlineStr">
        <is>
          <t>Auditoría AR-11: G-02, C-04 y V-01 con las seis áreas; criterio de AC-01 preciso (sus4 y tríadas); evidencias completadas en MT-01, MT-05, AC-01, AC-03 y AC-04 (método T).</t>
        </is>
      </c>
    </row>
    <row r="5" ht="46" customHeight="1">
      <c r="A5" s="14" t="inlineStr">
        <is>
          <t>1.20</t>
        </is>
      </c>
      <c r="B5" s="14" t="inlineStr">
        <is>
          <t>21/10/2026</t>
        </is>
      </c>
      <c r="C5" s="14" t="inlineStr">
        <is>
          <t>v1.22</t>
        </is>
      </c>
      <c r="D5" s="14" t="inlineStr">
        <is>
          <t>0.5.5</t>
        </is>
      </c>
      <c r="E5" s="14" t="inlineStr">
        <is>
          <t>AC-01 a AC-05 implementados y verificados por el banco (F5.7); AC-06 nuevo, el buscador; criterios al día con tu guía del listado.</t>
        </is>
      </c>
    </row>
    <row r="6" ht="46" customHeight="1">
      <c r="A6" s="14" t="inlineStr">
        <is>
          <t>1.19</t>
        </is>
      </c>
      <c r="B6" s="14" t="inlineStr">
        <is>
          <t>21/10/2026</t>
        </is>
      </c>
      <c r="C6" s="14" t="inlineStr">
        <is>
          <t>v1.21</t>
        </is>
      </c>
      <c r="D6" s="14" t="inlineStr">
        <is>
          <t>0.5.4</t>
        </is>
      </c>
      <c r="E6" s="14" t="inlineStr">
        <is>
          <t>MT-01 a MT-05 implementados y verificados por el banco (F5.6); criterios del metrónomo al día con tu guía: un solo acento, doce compases, figuras.</t>
        </is>
      </c>
    </row>
    <row r="7" ht="46" customHeight="1">
      <c r="A7" s="14" t="inlineStr">
        <is>
          <t>1.18</t>
        </is>
      </c>
      <c r="B7" s="14" t="inlineStr">
        <is>
          <t>21/10/2026</t>
        </is>
      </c>
      <c r="C7" s="14" t="inlineStr">
        <is>
          <t>v1.20</t>
        </is>
      </c>
      <c r="D7" s="14" t="inlineStr">
        <is>
          <t>0.5.3</t>
        </is>
      </c>
      <c r="E7" s="14" t="inlineStr">
        <is>
          <t>J-13 por defecto «Reintentar»; MT-05, el metrónomo con su pestaña; criterios de MT-01, AC-02, G-02 y N-06 completados; evidencias nuevas de G-01, P-01, N-06 y J-13 (AR-10 y AT-09); origen de los requisitos del 21/10 corregido.</t>
        </is>
      </c>
    </row>
    <row r="8" ht="46" customHeight="1">
      <c r="A8" s="14" t="inlineStr">
        <is>
          <t>1.17</t>
        </is>
      </c>
      <c r="B8" s="14" t="inlineStr">
        <is>
          <t>21/10/2026</t>
        </is>
      </c>
      <c r="C8" s="14" t="inlineStr">
        <is>
          <t>v1.19</t>
        </is>
      </c>
      <c r="D8" s="14" t="inlineStr">
        <is>
          <t>0.5.2</t>
        </is>
      </c>
      <c r="E8" s="14" t="inlineStr">
        <is>
          <t>J-13 y N-06 nuevos, verificados por el banco; criterios de MT-01 a MT-05 y AC-01 a AC-05 (planificados).</t>
        </is>
      </c>
    </row>
    <row r="9" ht="46" customHeight="1">
      <c r="A9" s="14" t="inlineStr">
        <is>
          <t>1.16</t>
        </is>
      </c>
      <c r="B9" s="14" t="inlineStr">
        <is>
          <t>21/10/2026</t>
        </is>
      </c>
      <c r="C9" s="14" t="inlineStr">
        <is>
          <t>v1.18</t>
        </is>
      </c>
      <c r="D9" s="14" t="inlineStr">
        <is>
          <t>0.5.0</t>
        </is>
      </c>
      <c r="E9" s="14" t="inlineStr">
        <is>
          <t>F5: criterios y evidencias de E-01 a E-06 y P-03; E-02 y E-05 verificados por el banco; E-04 con los intervalos en la línea de notas.</t>
        </is>
      </c>
    </row>
    <row r="10" ht="46" customHeight="1">
      <c r="A10" s="14" t="inlineStr">
        <is>
          <t>1.15</t>
        </is>
      </c>
      <c r="B10" s="14" t="inlineStr">
        <is>
          <t>21/10/2026</t>
        </is>
      </c>
      <c r="C10" s="14" t="inlineStr">
        <is>
          <t>v1.17</t>
        </is>
      </c>
      <c r="D10" s="14" t="inlineStr">
        <is>
          <t>0.4.2</t>
        </is>
      </c>
      <c r="E10" s="14" t="inlineStr">
        <is>
          <t>G-12 nuevo (idioma); J-11 con criterio de banco, verificado; criterios de J-01 (lectura de la nota tocada), J-06 (pistas grandes), J-08 (récords por afinación) y C-02 (idioma).</t>
        </is>
      </c>
    </row>
    <row r="11" ht="46" customHeight="1">
      <c r="A11" s="14" t="inlineStr">
        <is>
          <t>1.14</t>
        </is>
      </c>
      <c r="B11" s="14" t="inlineStr">
        <is>
          <t>21/10/2026</t>
        </is>
      </c>
      <c r="C11" s="14" t="inlineStr">
        <is>
          <t>v1.16</t>
        </is>
      </c>
      <c r="D11" s="14" t="inlineStr">
        <is>
          <t>0.4.0</t>
        </is>
      </c>
      <c r="E11" s="14" t="inlineStr">
        <is>
          <t>F4.1 a F4.3: evidencias del afinador por micrófono (A-02 a A-05, A-02-CA); A-02-CA y A-04 verificados por el banco; G-10 verificado con las etiquetas de F1 a F3.</t>
        </is>
      </c>
    </row>
    <row r="12" ht="46" customHeight="1">
      <c r="A12" s="14" t="inlineStr">
        <is>
          <t>1.13</t>
        </is>
      </c>
      <c r="B12" s="14" t="inlineStr">
        <is>
          <t>20/10/2026</t>
        </is>
      </c>
      <c r="C12" s="14" t="inlineStr">
        <is>
          <t>v1.15</t>
        </is>
      </c>
      <c r="D12" s="14" t="inlineStr">
        <is>
          <t>0.3.3</t>
        </is>
      </c>
      <c r="E12"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3" ht="46" customHeight="1">
      <c r="A13" s="14" t="inlineStr">
        <is>
          <t>1.12</t>
        </is>
      </c>
      <c r="B13" s="14" t="inlineStr">
        <is>
          <t>20/10/2026</t>
        </is>
      </c>
      <c r="C13" s="14" t="inlineStr">
        <is>
          <t>v1.14</t>
        </is>
      </c>
      <c r="D13" s="14" t="inlineStr">
        <is>
          <t>0.3.2</t>
        </is>
      </c>
      <c r="E13" s="14" t="inlineStr">
        <is>
          <t>Criterios de V-04 y G-05: «+» enseña más trastes y el usuario puede pedir trastes de hasta 28 px con el dedo (comentario del cliente del 20/10).</t>
        </is>
      </c>
    </row>
    <row r="14" ht="46" customHeight="1">
      <c r="A14" s="14" t="inlineStr">
        <is>
          <t>1.11</t>
        </is>
      </c>
      <c r="B14" s="14" t="inlineStr">
        <is>
          <t>20/10/2026</t>
        </is>
      </c>
      <c r="C14" s="14" t="inlineStr">
        <is>
          <t>v1.13</t>
        </is>
      </c>
      <c r="D14" s="14" t="inlineStr">
        <is>
          <t>0.3.1</t>
        </is>
      </c>
      <c r="E14" s="14" t="inlineStr">
        <is>
          <t>Etapa F3.4: G-05 cumple, verificado parcialmente hasta la Sesión 1. Su criterio añade los umbrales de la paleta (AR-06 #3).</t>
        </is>
      </c>
    </row>
    <row r="15" ht="46" customHeight="1">
      <c r="A15" s="14" t="inlineStr">
        <is>
          <t>1.10</t>
        </is>
      </c>
      <c r="B15" s="14" t="inlineStr">
        <is>
          <t>20/10/2026</t>
        </is>
      </c>
      <c r="C15" s="14" t="inlineStr">
        <is>
          <t>v1.12</t>
        </is>
      </c>
      <c r="D15" s="14" t="inlineStr">
        <is>
          <t>0.3.0</t>
        </is>
      </c>
      <c r="E15" s="14" t="inlineStr">
        <is>
          <t>Etapa F3.2: V-01 y C-07 cumplen, verificados parcialmente hasta la Sesión 1. Criterios revisados: V-04 (lo guardado se conserva) y G-05 (excepción en vertical por debajo de 660 px de alto).</t>
        </is>
      </c>
    </row>
    <row r="16" ht="46" customHeight="1">
      <c r="A16" s="14" t="inlineStr">
        <is>
          <t>1.9</t>
        </is>
      </c>
      <c r="B16" s="14" t="inlineStr">
        <is>
          <t>20/10/2026</t>
        </is>
      </c>
      <c r="C16" s="14" t="inlineStr">
        <is>
          <t>v1.11</t>
        </is>
      </c>
      <c r="D16" s="14" t="inlineStr">
        <is>
          <t>0.2.3</t>
        </is>
      </c>
      <c r="E16" s="14" t="inlineStr">
        <is>
          <t>Interfaz aprobada: C-06 verificado; C-07 nuevo; criterios revisados de V-01 (40 px con alto útil ≥ 268 px y aviso para girar), V-04 (trastes ≥ 40 px en pantallas táctiles), G-05 (controles de 40 × 40 px) y C-04 (navegación según la disposición).</t>
        </is>
      </c>
    </row>
    <row r="17" ht="46" customHeight="1">
      <c r="A17" s="14" t="inlineStr">
        <is>
          <t>1.8</t>
        </is>
      </c>
      <c r="B17" s="14" t="inlineStr">
        <is>
          <t>20/10/2026</t>
        </is>
      </c>
      <c r="C17" s="14" t="inlineStr">
        <is>
          <t>v1.10</t>
        </is>
      </c>
      <c r="D17" s="14" t="inlineStr">
        <is>
          <t>0.2.3</t>
        </is>
      </c>
      <c r="E17" s="14" t="inlineStr">
        <is>
          <t>S-07 cumple y queda verificado: licencia CC BY de los 161 sonidos del pack de nylon.</t>
        </is>
      </c>
    </row>
    <row r="18" ht="46" customHeight="1">
      <c r="A18" s="14" t="inlineStr">
        <is>
          <t>1.7</t>
        </is>
      </c>
      <c r="B18" s="14" t="inlineStr">
        <is>
          <t>20/10/2026</t>
        </is>
      </c>
      <c r="C18" s="14" t="inlineStr">
        <is>
          <t>v1.9</t>
        </is>
      </c>
      <c r="D18" s="14" t="inlineStr">
        <is>
          <t>0.2.3</t>
        </is>
      </c>
      <c r="E18" s="14" t="inlineStr">
        <is>
          <t>Evidencia de S-07: licencia de nylon comprobada en tres sonidos. Criterios sin cambios.</t>
        </is>
      </c>
    </row>
    <row r="19" ht="46" customHeight="1">
      <c r="A19" s="14" t="inlineStr">
        <is>
          <t>1.6</t>
        </is>
      </c>
      <c r="B19" s="14" t="inlineStr">
        <is>
          <t>19/10/2026</t>
        </is>
      </c>
      <c r="C19" s="14" t="inlineStr">
        <is>
          <t>v1.8</t>
        </is>
      </c>
      <c r="D19" s="14" t="inlineStr">
        <is>
          <t>0.2.3</t>
        </is>
      </c>
      <c r="E19" s="14" t="inlineStr">
        <is>
          <t>CP-2: criterio de G-07 con los límites revisados y solo Windows y Android; X-01 cumple; evidencia de S-01 con la escucha del cliente (V-05).</t>
        </is>
      </c>
    </row>
    <row r="20" ht="46" customHeight="1">
      <c r="A20" s="14" t="inlineStr">
        <is>
          <t>1.5</t>
        </is>
      </c>
      <c r="B20" s="14" t="inlineStr">
        <is>
          <t>19/10/2026</t>
        </is>
      </c>
      <c r="C20" s="14" t="inlineStr">
        <is>
          <t>v1.7</t>
        </is>
      </c>
      <c r="D20" s="14" t="inlineStr">
        <is>
          <t>0.2.2</t>
        </is>
      </c>
      <c r="E20" s="14" t="inlineStr">
        <is>
          <t>Criterio de S-08 según su nueva redacción: nota resultante a ±5 cents tras la corrección.</t>
        </is>
      </c>
    </row>
    <row r="21" ht="46" customHeight="1">
      <c r="A21" s="14" t="inlineStr">
        <is>
          <t>1.4</t>
        </is>
      </c>
      <c r="B21" s="14" t="inlineStr">
        <is>
          <t>19/10/2026</t>
        </is>
      </c>
      <c r="C21" s="14" t="inlineStr">
        <is>
          <t>v1.6</t>
        </is>
      </c>
      <c r="D21" s="14" t="inlineStr">
        <is>
          <t>0.2.1</t>
        </is>
      </c>
      <c r="E21" s="14" t="inlineStr">
        <is>
          <t>G-07 y G-08 verificados parcialmente con el archivo autónomo (V-03 y banco); falta la prueba en cada plataforma (F2.5).</t>
        </is>
      </c>
    </row>
    <row r="22" ht="46" customHeight="1">
      <c r="A22" s="14" t="inlineStr">
        <is>
          <t>1.3</t>
        </is>
      </c>
      <c r="B22" s="14" t="inlineStr">
        <is>
          <t>19/10/2026</t>
        </is>
      </c>
      <c r="C22" s="14" t="inlineStr">
        <is>
          <t>v1.5</t>
        </is>
      </c>
      <c r="D22" s="14" t="inlineStr">
        <is>
          <t>0.2.0</t>
        </is>
      </c>
      <c r="E22" s="14" t="inlineStr">
        <is>
          <t>S-08 verificado: la app usa sus grabaciones medidas (F2.2). Evidencias nuevas en S-01, S-07 y S-08: banco con todas las notas y grabación en el navegador (V-02).</t>
        </is>
      </c>
    </row>
    <row r="23" ht="46" customHeight="1">
      <c r="A23" s="14" t="inlineStr">
        <is>
          <t>1.2</t>
        </is>
      </c>
      <c r="B23" s="14" t="inlineStr">
        <is>
          <t>15/10/2026</t>
        </is>
      </c>
      <c r="C23" s="14" t="inlineStr">
        <is>
          <t>v1.4</t>
        </is>
      </c>
      <c r="D23" s="14" t="inlineStr">
        <is>
          <t>0.1.4</t>
        </is>
      </c>
      <c r="E23" s="14" t="inlineStr">
        <is>
          <t>Nuevo PL-04: adaptabilidad entre sistemas, con docs/compatibilidad.md como evidencia. PL-02 sin Android de pruebas por ahora; X-02 con despliegue de pruebas previo.</t>
        </is>
      </c>
    </row>
    <row r="24" ht="46" customHeight="1">
      <c r="A24" s="14" t="inlineStr">
        <is>
          <t>1.1</t>
        </is>
      </c>
      <c r="B24" s="14" t="inlineStr">
        <is>
          <t>15/10/2026</t>
        </is>
      </c>
      <c r="C24" s="14" t="inlineStr">
        <is>
          <t>v1.3</t>
        </is>
      </c>
      <c r="D24" s="14" t="inlineStr">
        <is>
          <t>0.1.4</t>
        </is>
      </c>
      <c r="E24"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5" ht="46" customHeight="1">
      <c r="A25" s="14" t="inlineStr">
        <is>
          <t>1.0</t>
        </is>
      </c>
      <c r="B25" s="14" t="inlineStr">
        <is>
          <t>14/10/2026</t>
        </is>
      </c>
      <c r="C25" s="14" t="inlineStr">
        <is>
          <t>v1.2</t>
        </is>
      </c>
      <c r="D25" s="14" t="inlineStr">
        <is>
          <t>0.1.2</t>
        </is>
      </c>
      <c r="E25"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2026-10-22T13:44:10Z</dcterms:created>
  <dcterms:modified xmlns:dcterms="http://purl.org/dc/terms/" xmlns:xsi="http://www.w3.org/2001/XMLSchema-instance" xsi:type="dcterms:W3CDTF">2026-10-22T13:44:10Z</dcterms:modified>
</cp:coreProperties>
</file>