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'Matriz'!$A$4:$Q$100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1.15. Base: requisitos.md v1.17 · app 0.4.2 · roadmap 3.15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v1.17</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 · Sesión 1: A01</t>
        </is>
      </c>
      <c r="M5" s="5" t="inlineStr">
        <is>
          <t>Verificado</t>
        </is>
      </c>
      <c r="N5" s="5" t="inlineStr">
        <is>
          <t>Auditor de requisitos</t>
        </is>
      </c>
      <c r="O5" s="5" t="inlineStr">
        <is>
          <t>Naming cerrado: se descarta Trasting. Validado en la Sesión 1 (20/10, informe V-08): A01.</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 · Sesión 1: A12</t>
        </is>
      </c>
      <c r="M6" s="5" t="inlineStr">
        <is>
          <t>Verificado</t>
        </is>
      </c>
      <c r="N6" s="5" t="inlineStr">
        <is>
          <t>Cliente</t>
        </is>
      </c>
      <c r="O6" s="5" t="inlineStr">
        <is>
          <t>Escalas visible pero deshabilitada hasta F5. Validado en la Sesión 1 (20/10, informe V-08): A12.</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is>
          <t>Nuevo</t>
        </is>
      </c>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4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33" customHeight="1">
      <c r="A26" s="4" t="inlineStr">
        <is>
          <t>D-01</t>
        </is>
      </c>
      <c r="B26" s="5" t="inlineStr">
        <is>
          <t>Diapasón</t>
        </is>
      </c>
      <c r="C26" s="5" t="inlineStr">
        <is>
          <t>Diagrama del mástil de 6 cuerdas.</t>
        </is>
      </c>
      <c r="D26" s="5" t="inlineStr">
        <is>
          <t>Alta</t>
        </is>
      </c>
      <c r="E26" s="5" t="inlineStr">
        <is>
          <t>Cliente · listado 14/09</t>
        </is>
      </c>
      <c r="F26" s="5" t="inlineStr">
        <is>
          <t>F1</t>
        </is>
      </c>
      <c r="G26" s="5" t="inlineStr">
        <is>
          <t>F1.1</t>
        </is>
      </c>
      <c r="H26" s="5" t="inlineStr">
        <is>
          <t>I</t>
        </is>
      </c>
      <c r="I26" s="5" t="inlineStr">
        <is>
          <t>Se dibujan 6 cuerdas con 25 posiciones cada una: cejuela y 24 trastes.</t>
        </is>
      </c>
      <c r="J26" s="5" t="inlineStr">
        <is>
          <t>Cumple</t>
        </is>
      </c>
      <c r="K26" s="5" t="inlineStr">
        <is>
          <t>0.1.0</t>
        </is>
      </c>
      <c r="L26" s="5" t="inlineStr">
        <is>
          <t>Banco (node --test): 150 celdas</t>
        </is>
      </c>
      <c r="M26" s="5" t="inlineStr">
        <is>
          <t>Verificado parcialmente</t>
        </is>
      </c>
      <c r="N26" s="5" t="inlineStr">
        <is>
          <t>Auditor de requisitos</t>
        </is>
      </c>
      <c r="O26" s="5" t="inlineStr"/>
      <c r="P26" s="6" t="n"/>
      <c r="Q26" s="5" t="inlineStr"/>
    </row>
    <row r="27" ht="33" customHeight="1">
      <c r="A27" s="4" t="inlineStr">
        <is>
          <t>D-02</t>
        </is>
      </c>
      <c r="B27" s="5" t="inlineStr">
        <is>
          <t>Diapasón</t>
        </is>
      </c>
      <c r="C27" s="5" t="inlineStr">
        <is>
          <t>Cada cuerda muestra a la izquierda su nota al aire, derivada de la afinación activa.</t>
        </is>
      </c>
      <c r="D27" s="5" t="inlineStr">
        <is>
          <t>Alta</t>
        </is>
      </c>
      <c r="E27" s="5" t="inlineStr">
        <is>
          <t>Cliente · listado 14/09</t>
        </is>
      </c>
      <c r="F27" s="5" t="inlineStr">
        <is>
          <t>F1</t>
        </is>
      </c>
      <c r="G27" s="5" t="inlineStr">
        <is>
          <t>F1.1</t>
        </is>
      </c>
      <c r="H27" s="5" t="inlineStr">
        <is>
          <t>D</t>
        </is>
      </c>
      <c r="I27" s="5" t="inlineStr">
        <is>
          <t>La etiqueta de cada cuerda coincide con la afinación activa y cambia al cambiarla.</t>
        </is>
      </c>
      <c r="J27" s="5" t="inlineStr">
        <is>
          <t>Cumple</t>
        </is>
      </c>
      <c r="K27" s="5" t="inlineStr">
        <is>
          <t>0.1.0</t>
        </is>
      </c>
      <c r="L27" s="5" t="inlineStr">
        <is>
          <t>Banco (node --test): Drop D</t>
        </is>
      </c>
      <c r="M27" s="5" t="inlineStr">
        <is>
          <t>Verificado parcialmente</t>
        </is>
      </c>
      <c r="N27" s="5" t="inlineStr">
        <is>
          <t>Cliente</t>
        </is>
      </c>
      <c r="O27" s="5" t="inlineStr">
        <is>
          <t>Se actualiza sola al cambiar de afinación (A-10).</t>
        </is>
      </c>
      <c r="P27" s="6" t="n"/>
      <c r="Q27" s="5" t="inlineStr"/>
    </row>
    <row r="28" ht="48" customHeight="1">
      <c r="A28" s="4" t="inlineStr">
        <is>
          <t>D-03</t>
        </is>
      </c>
      <c r="B28" s="5" t="inlineStr">
        <is>
          <t>Diapasón</t>
        </is>
      </c>
      <c r="C28" s="5" t="inlineStr">
        <is>
          <t>Cada traste muestra su número alineado exactamente sobre la franja donde se pulsa.</t>
        </is>
      </c>
      <c r="D28" s="5" t="inlineStr">
        <is>
          <t>Alta</t>
        </is>
      </c>
      <c r="E28" s="5" t="inlineStr">
        <is>
          <t>Cliente · listado 14/09</t>
        </is>
      </c>
      <c r="F28" s="5" t="inlineStr">
        <is>
          <t>F1</t>
        </is>
      </c>
      <c r="G28" s="5" t="inlineStr">
        <is>
          <t>F1.1</t>
        </is>
      </c>
      <c r="H28" s="5" t="inlineStr">
        <is>
          <t>I</t>
        </is>
      </c>
      <c r="I28" s="5" t="inlineStr">
        <is>
          <t>Cada número de traste queda centrado sobre su franja con cualquier nivel de zoom.</t>
        </is>
      </c>
      <c r="J28" s="5" t="inlineStr">
        <is>
          <t>Cumple</t>
        </is>
      </c>
      <c r="K28" s="5" t="inlineStr">
        <is>
          <t>0.1.0</t>
        </is>
      </c>
      <c r="L28" s="5" t="inlineStr">
        <is>
          <t>F1.1 #7</t>
        </is>
      </c>
      <c r="M28" s="5" t="inlineStr">
        <is>
          <t>Pendiente</t>
        </is>
      </c>
      <c r="N28" s="5" t="inlineStr">
        <is>
          <t>Auditor de requisitos</t>
        </is>
      </c>
      <c r="O28" s="5" t="inlineStr">
        <is>
          <t>La fila de números comparte las mismas variables de ancho (--label-w, --nut-w, --fret-w) que las celdas.</t>
        </is>
      </c>
      <c r="P28" s="6" t="n"/>
      <c r="Q28" s="5" t="inlineStr"/>
    </row>
    <row r="29" ht="63" customHeight="1">
      <c r="A29" s="4" t="inlineStr">
        <is>
          <t>D-04</t>
        </is>
      </c>
      <c r="B29" s="5" t="inlineStr">
        <is>
          <t>Diapasón</t>
        </is>
      </c>
      <c r="C29" s="5" t="inlineStr">
        <is>
          <t>La numeración de trastes tiene tres modos: todos, guía (solo los trastes con marca) y ninguno.</t>
        </is>
      </c>
      <c r="D29" s="5" t="inlineStr">
        <is>
          <t>Media</t>
        </is>
      </c>
      <c r="E29" s="5" t="inlineStr">
        <is>
          <t>Cliente · listado 14/09</t>
        </is>
      </c>
      <c r="F29" s="5" t="inlineStr">
        <is>
          <t>F1</t>
        </is>
      </c>
      <c r="G29" s="5" t="inlineStr">
        <is>
          <t>F1.3</t>
        </is>
      </c>
      <c r="H29" s="5" t="inlineStr">
        <is>
          <t>T</t>
        </is>
      </c>
      <c r="I29" s="5" t="inlineStr">
        <is>
          <t>Los modos Todos, Guía y No muestran todos los números, solo los de trastes con marca, o ninguno.</t>
        </is>
      </c>
      <c r="J29" s="5" t="inlineStr">
        <is>
          <t>Cumple</t>
        </is>
      </c>
      <c r="K29" s="5" t="inlineStr">
        <is>
          <t>0.1.2</t>
        </is>
      </c>
      <c r="L29" s="5" t="inlineStr">
        <is>
          <t>Banco (node --test) · F1.1 #11 · Sesión 1: A11</t>
        </is>
      </c>
      <c r="M29" s="5" t="inlineStr">
        <is>
          <t>Verificado</t>
        </is>
      </c>
      <c r="N29" s="5" t="inlineStr">
        <is>
          <t>Banco automático + auditor técnico</t>
        </is>
      </c>
      <c r="O29" s="5" t="inlineStr">
        <is>
          <t>Sustituye al interruptor de la 0.1.1; quien lo tuviera apagado pasa automáticamente a «ninguno». Validado en la Sesión 1 (20/10, informe V-08): A11.</t>
        </is>
      </c>
      <c r="P29" s="6" t="n"/>
      <c r="Q29" s="5" t="inlineStr"/>
    </row>
    <row r="30" ht="33" customHeight="1">
      <c r="A30" s="4" t="inlineStr">
        <is>
          <t>D-05</t>
        </is>
      </c>
      <c r="B30" s="5" t="inlineStr">
        <is>
          <t>Diapasón</t>
        </is>
      </c>
      <c r="C30" s="5" t="inlineStr">
        <is>
          <t>Al pulsar una posición suena esa nota.</t>
        </is>
      </c>
      <c r="D30" s="5" t="inlineStr">
        <is>
          <t>Alta</t>
        </is>
      </c>
      <c r="E30" s="5" t="inlineStr">
        <is>
          <t>Cliente · listado 14/09</t>
        </is>
      </c>
      <c r="F30" s="5" t="inlineStr">
        <is>
          <t>F1</t>
        </is>
      </c>
      <c r="G30" s="5" t="inlineStr">
        <is>
          <t>F1.1</t>
        </is>
      </c>
      <c r="H30" s="5" t="inlineStr">
        <is>
          <t>D</t>
        </is>
      </c>
      <c r="I30" s="5" t="inlineStr">
        <is>
          <t>Pulsar una posición reproduce su nota sin retardo perceptible.</t>
        </is>
      </c>
      <c r="J30" s="5" t="inlineStr">
        <is>
          <t>Cumple</t>
        </is>
      </c>
      <c r="K30" s="5" t="inlineStr">
        <is>
          <t>0.1.0 **Validado en la Sesión 1** (20/10, informe `V-08`): A03 y E03.</t>
        </is>
      </c>
      <c r="L30" s="5" t="inlineStr">
        <is>
          <t>F1.1 #2 · Sesión 1: A03 y E03</t>
        </is>
      </c>
      <c r="M30" s="5" t="inlineStr">
        <is>
          <t>Verificado</t>
        </is>
      </c>
      <c r="N30" s="5" t="inlineStr">
        <is>
          <t>Cliente</t>
        </is>
      </c>
      <c r="O30" s="5" t="inlineStr"/>
      <c r="P30" s="6" t="n"/>
      <c r="Q30" s="5" t="inlineStr"/>
    </row>
    <row r="31" ht="33" customHeight="1">
      <c r="A31" s="4" t="inlineStr">
        <is>
          <t>D-06</t>
        </is>
      </c>
      <c r="B31" s="5" t="inlineStr">
        <is>
          <t>Diapasón</t>
        </is>
      </c>
      <c r="C31" s="5" t="inlineStr">
        <is>
          <t>Al pulsar una posición aparece el nombre de la nota en la nomenclatura activa.</t>
        </is>
      </c>
      <c r="D31" s="5" t="inlineStr">
        <is>
          <t>Alta</t>
        </is>
      </c>
      <c r="E31" s="5" t="inlineStr">
        <is>
          <t>Cliente · listado 14/09</t>
        </is>
      </c>
      <c r="F31" s="5" t="inlineStr">
        <is>
          <t>F1</t>
        </is>
      </c>
      <c r="G31" s="5" t="inlineStr">
        <is>
          <t>F1.1</t>
        </is>
      </c>
      <c r="H31" s="5" t="inlineStr">
        <is>
          <t>D</t>
        </is>
      </c>
      <c r="I31" s="5" t="inlineStr">
        <is>
          <t>Al pulsar aparece el nombre de la nota sobre la posición.</t>
        </is>
      </c>
      <c r="J31" s="5" t="inlineStr">
        <is>
          <t>Cumple</t>
        </is>
      </c>
      <c r="K31" s="5" t="inlineStr">
        <is>
          <t>0.1.0 **Validado en la Sesión 1** (20/10, informe `V-08`): E03.</t>
        </is>
      </c>
      <c r="L31" s="5" t="inlineStr">
        <is>
          <t>F1.1 #14 · Sesión 1: E03</t>
        </is>
      </c>
      <c r="M31" s="5" t="inlineStr">
        <is>
          <t>Verificado</t>
        </is>
      </c>
      <c r="N31" s="5" t="inlineStr">
        <is>
          <t>Cliente</t>
        </is>
      </c>
      <c r="O31" s="5" t="inlineStr"/>
      <c r="P31" s="6" t="n"/>
      <c r="Q31" s="5" t="inlineStr"/>
    </row>
    <row r="32" ht="33" customHeight="1">
      <c r="A32" s="4" t="inlineStr">
        <is>
          <t>D-07</t>
        </is>
      </c>
      <c r="B32" s="5" t="inlineStr">
        <is>
          <t>Diapasón</t>
        </is>
      </c>
      <c r="C32" s="5" t="inlineStr">
        <is>
          <t>Marcadores de posición en los trastes habituales (3, 5, 7, 9, 12, 15, 17, 19, 21, 24).</t>
        </is>
      </c>
      <c r="D32" s="5" t="inlineStr">
        <is>
          <t>Media</t>
        </is>
      </c>
      <c r="E32" s="5" t="inlineStr">
        <is>
          <t>Cliente · listado 14/09</t>
        </is>
      </c>
      <c r="F32" s="5" t="inlineStr">
        <is>
          <t>F1</t>
        </is>
      </c>
      <c r="G32" s="5" t="inlineStr">
        <is>
          <t>F1.1</t>
        </is>
      </c>
      <c r="H32" s="5" t="inlineStr">
        <is>
          <t>I</t>
        </is>
      </c>
      <c r="I32" s="5" t="inlineStr">
        <is>
          <t>Marcas simples en los trastes 3, 5, 7, 9, 15, 17, 19 y 21, y dobles en 12 y 24.</t>
        </is>
      </c>
      <c r="J32" s="5" t="inlineStr">
        <is>
          <t>Cumple</t>
        </is>
      </c>
      <c r="K32" s="5" t="inlineStr">
        <is>
          <t>0.1.0</t>
        </is>
      </c>
      <c r="L32" s="5" t="inlineStr">
        <is>
          <t>F1.1 #14</t>
        </is>
      </c>
      <c r="M32" s="5" t="inlineStr">
        <is>
          <t>Pendiente</t>
        </is>
      </c>
      <c r="N32" s="5" t="inlineStr">
        <is>
          <t>Auditor de requisitos</t>
        </is>
      </c>
      <c r="O32" s="5" t="inlineStr"/>
      <c r="P32" s="6" t="n"/>
      <c r="Q32" s="5" t="inlineStr"/>
    </row>
    <row r="33" ht="120" customHeight="1">
      <c r="A33" s="4" t="inlineStr">
        <is>
          <t>S-01</t>
        </is>
      </c>
      <c r="B33" s="5" t="inlineStr">
        <is>
          <t>Sonido</t>
        </is>
      </c>
      <c r="C33" s="5" t="inlineStr">
        <is>
          <t>El sonido corresponde a una guitarra real, no a un sintetizador genérico.</t>
        </is>
      </c>
      <c r="D33" s="5" t="inlineStr">
        <is>
          <t>Alta</t>
        </is>
      </c>
      <c r="E33" s="5" t="inlineStr">
        <is>
          <t>Cliente · listado 14/09</t>
        </is>
      </c>
      <c r="F33" s="5" t="inlineStr">
        <is>
          <t>F1 · F2</t>
        </is>
      </c>
      <c r="G33" s="5" t="inlineStr">
        <is>
          <t>F1.1 · F2.2 · F2.4</t>
        </is>
      </c>
      <c r="H33" s="5" t="inlineStr">
        <is>
          <t>D</t>
        </is>
      </c>
      <c r="I33" s="5" t="inlineStr">
        <is>
          <t>Al pulsar cualquier posición suena una muestra grabada, no el sintetizador Karplus-Strong.</t>
        </is>
      </c>
      <c r="J33" s="5" t="inlineStr">
        <is>
          <t>Cumple</t>
        </is>
      </c>
      <c r="K33" s="5" t="inlineStr">
        <is>
          <t>0.1.0</t>
        </is>
      </c>
      <c r="L33" s="5" t="inlineStr">
        <is>
          <t>F1.1 #14 y #15 · V-05: escucha del cliente en su iPhone (0.2.0, 19/10) · Sesión 1 (informe V-08): suena en el PC y el iPhone, pero en el iPhone se quedó mudo en C08 y D03; 0.3.3 con recuperación; pendiente de la Sesión 2</t>
        </is>
      </c>
      <c r="M33" s="5" t="inlineStr">
        <is>
          <t>Verificado parcialmente</t>
        </is>
      </c>
      <c r="N33" s="5" t="inlineStr">
        <is>
          <t>Cliente</t>
        </is>
      </c>
      <c r="O33"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3" s="6" t="n"/>
      <c r="Q33" s="5" t="inlineStr"/>
    </row>
    <row r="34" ht="120" customHeight="1">
      <c r="A34" s="4" t="inlineStr">
        <is>
          <t>S-02</t>
        </is>
      </c>
      <c r="B34" s="5" t="inlineStr">
        <is>
          <t>Sonido</t>
        </is>
      </c>
      <c r="C34" s="5" t="inlineStr">
        <is>
          <t>El usuario elige entre guitarra clásica (nylon) y acústica (acero).</t>
        </is>
      </c>
      <c r="D34" s="5" t="inlineStr">
        <is>
          <t>Alta</t>
        </is>
      </c>
      <c r="E34" s="5" t="inlineStr">
        <is>
          <t>Cliente · listado 14/09</t>
        </is>
      </c>
      <c r="F34" s="5" t="inlineStr">
        <is>
          <t>F1</t>
        </is>
      </c>
      <c r="G34" s="5" t="inlineStr">
        <is>
          <t>F1.1</t>
        </is>
      </c>
      <c r="H34" s="5" t="inlineStr">
        <is>
          <t>D</t>
        </is>
      </c>
      <c r="I34" s="5" t="inlineStr">
        <is>
          <t>Elegir Acústica cambia el timbre audible y elegir Clásica lo devuelve, sin hacer sonar ninguna nota al elegir.</t>
        </is>
      </c>
      <c r="J34" s="5" t="inlineStr">
        <is>
          <t>Cumple</t>
        </is>
      </c>
      <c r="K34" s="5" t="inlineStr">
        <is>
          <t>0.1.0</t>
        </is>
      </c>
      <c r="L34" s="5" t="inlineStr">
        <is>
          <t>F1.1 #5 · Banco (node --test): cambiar de guitarra no suena · Sesión 1: A14</t>
        </is>
      </c>
      <c r="M34" s="5" t="inlineStr">
        <is>
          <t>Pendiente</t>
        </is>
      </c>
      <c r="N34" s="5" t="inlineStr">
        <is>
          <t>Cliente</t>
        </is>
      </c>
      <c r="O34"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4" s="6" t="n"/>
      <c r="Q34" s="5" t="inlineStr"/>
    </row>
    <row r="35" ht="33" customHeight="1">
      <c r="A35" s="4" t="inlineStr">
        <is>
          <t>S-03</t>
        </is>
      </c>
      <c r="B35" s="5" t="inlineStr">
        <is>
          <t>Sonido</t>
        </is>
      </c>
      <c r="C35" s="5" t="inlineStr">
        <is>
          <t>La selección de timbre está en el menú de configuración.</t>
        </is>
      </c>
      <c r="D35" s="5" t="inlineStr">
        <is>
          <t>Alta</t>
        </is>
      </c>
      <c r="E35" s="5" t="inlineStr">
        <is>
          <t>Cliente · listado 14/09</t>
        </is>
      </c>
      <c r="F35" s="5" t="inlineStr">
        <is>
          <t>F1</t>
        </is>
      </c>
      <c r="G35" s="5" t="inlineStr">
        <is>
          <t>F1.1</t>
        </is>
      </c>
      <c r="H35" s="5" t="inlineStr">
        <is>
          <t>I</t>
        </is>
      </c>
      <c r="I35" s="5" t="inlineStr">
        <is>
          <t>El selector de timbre está en Ajustes.</t>
        </is>
      </c>
      <c r="J35" s="5" t="inlineStr">
        <is>
          <t>Cumple</t>
        </is>
      </c>
      <c r="K35" s="5" t="inlineStr">
        <is>
          <t>0.1.0 **Validado en la Sesión 1** (20/10, informe `V-08`): A14.</t>
        </is>
      </c>
      <c r="L35" s="5" t="inlineStr">
        <is>
          <t>F1.1 #14 · Sesión 1: A14</t>
        </is>
      </c>
      <c r="M35" s="5" t="inlineStr">
        <is>
          <t>Verificado</t>
        </is>
      </c>
      <c r="N35" s="5" t="inlineStr">
        <is>
          <t>Auditor de requisitos</t>
        </is>
      </c>
      <c r="O35" s="5" t="inlineStr"/>
      <c r="P35" s="6" t="n"/>
      <c r="Q35" s="5" t="inlineStr"/>
    </row>
    <row r="36" ht="48" customHeight="1">
      <c r="A36" s="4" t="inlineStr">
        <is>
          <t>S-04</t>
        </is>
      </c>
      <c r="B36" s="5" t="inlineStr">
        <is>
          <t>Sonido</t>
        </is>
      </c>
      <c r="C36" s="5" t="inlineStr">
        <is>
          <t>Si los samples no cargan, la app sigue sonando por síntesis.</t>
        </is>
      </c>
      <c r="D36" s="5" t="inlineStr">
        <is>
          <t>Media</t>
        </is>
      </c>
      <c r="E36" s="5" t="inlineStr">
        <is>
          <t>Cliente · listado 14/09</t>
        </is>
      </c>
      <c r="F36" s="5" t="inlineStr">
        <is>
          <t>F1</t>
        </is>
      </c>
      <c r="G36" s="5" t="inlineStr">
        <is>
          <t>F1.1</t>
        </is>
      </c>
      <c r="H36" s="5" t="inlineStr">
        <is>
          <t>T</t>
        </is>
      </c>
      <c r="I36" s="5" t="inlineStr">
        <is>
          <t>Sin conexión, la app suena con el sintetizador y lo avisa en la pantalla de entrada.</t>
        </is>
      </c>
      <c r="J36" s="5" t="inlineStr">
        <is>
          <t>Cumple</t>
        </is>
      </c>
      <c r="K36" s="5" t="inlineStr">
        <is>
          <t>0.1.0</t>
        </is>
      </c>
      <c r="L36" s="5" t="inlineStr">
        <is>
          <t>—</t>
        </is>
      </c>
      <c r="M36" s="5" t="inlineStr">
        <is>
          <t>Pendiente</t>
        </is>
      </c>
      <c r="N36" s="5" t="inlineStr">
        <is>
          <t>Banco automático + auditor técnico</t>
        </is>
      </c>
      <c r="O36" s="5" t="inlineStr">
        <is>
          <t>Karplus-Strong con filtros que imitan la caja de resonancia. Desde 0.1.1 cada nota se calcula una sola vez y se reutiliza.</t>
        </is>
      </c>
      <c r="P36" s="6" t="n"/>
      <c r="Q36" s="5" t="inlineStr"/>
    </row>
    <row r="37" ht="33" customHeight="1">
      <c r="A37" s="4" t="inlineStr">
        <is>
          <t>S-05</t>
        </is>
      </c>
      <c r="B37" s="5" t="inlineStr">
        <is>
          <t>Sonido</t>
        </is>
      </c>
      <c r="C37" s="5" t="inlineStr">
        <is>
          <t>El primer sonido requiere una interacción explícita del usuario.</t>
        </is>
      </c>
      <c r="D37" s="5" t="inlineStr">
        <is>
          <t>Alta</t>
        </is>
      </c>
      <c r="E37" s="5" t="inlineStr">
        <is>
          <t>Cliente · listado 14/09</t>
        </is>
      </c>
      <c r="F37" s="5" t="inlineStr">
        <is>
          <t>F1</t>
        </is>
      </c>
      <c r="G37" s="5" t="inlineStr">
        <is>
          <t>F1.1</t>
        </is>
      </c>
      <c r="H37" s="5" t="inlineStr">
        <is>
          <t>D</t>
        </is>
      </c>
      <c r="I37" s="5" t="inlineStr">
        <is>
          <t>No suena nada antes de pulsar «Empezar».</t>
        </is>
      </c>
      <c r="J37" s="5" t="inlineStr">
        <is>
          <t>Cumple</t>
        </is>
      </c>
      <c r="K37" s="5" t="inlineStr">
        <is>
          <t>0.1.0</t>
        </is>
      </c>
      <c r="L37" s="5" t="inlineStr">
        <is>
          <t>F1.1 #14</t>
        </is>
      </c>
      <c r="M37" s="5" t="inlineStr">
        <is>
          <t>Pendiente</t>
        </is>
      </c>
      <c r="N37" s="5" t="inlineStr">
        <is>
          <t>Cliente</t>
        </is>
      </c>
      <c r="O37" s="5" t="inlineStr">
        <is>
          <t>Lo impone la política de reproducción automática de los navegadores.</t>
        </is>
      </c>
      <c r="P37" s="6" t="n"/>
      <c r="Q37" s="5" t="inlineStr"/>
    </row>
    <row r="38" ht="33" customHeight="1">
      <c r="A38" s="4" t="inlineStr">
        <is>
          <t>S-06</t>
        </is>
      </c>
      <c r="B38" s="5" t="inlineStr">
        <is>
          <t>Sonido</t>
        </is>
      </c>
      <c r="C38" s="5" t="inlineStr">
        <is>
          <t>El timbre persiste entre sesiones.</t>
        </is>
      </c>
      <c r="D38" s="5" t="inlineStr">
        <is>
          <t>Media</t>
        </is>
      </c>
      <c r="E38" s="5" t="inlineStr">
        <is>
          <t>Cliente · listado 14/09</t>
        </is>
      </c>
      <c r="F38" s="5" t="inlineStr">
        <is>
          <t>F1</t>
        </is>
      </c>
      <c r="G38" s="5" t="inlineStr">
        <is>
          <t>F1.1</t>
        </is>
      </c>
      <c r="H38" s="5" t="inlineStr">
        <is>
          <t>D</t>
        </is>
      </c>
      <c r="I38" s="5" t="inlineStr">
        <is>
          <t>Tras recargar se mantiene el timbre elegido.</t>
        </is>
      </c>
      <c r="J38" s="5" t="inlineStr">
        <is>
          <t>Cumple</t>
        </is>
      </c>
      <c r="K38" s="5" t="inlineStr">
        <is>
          <t>0.1.0</t>
        </is>
      </c>
      <c r="L38" s="5" t="inlineStr">
        <is>
          <t>F1.1 #13</t>
        </is>
      </c>
      <c r="M38" s="5" t="inlineStr">
        <is>
          <t>Pendiente</t>
        </is>
      </c>
      <c r="N38" s="5" t="inlineStr">
        <is>
          <t>Cliente</t>
        </is>
      </c>
      <c r="O38" s="5" t="inlineStr"/>
      <c r="P38" s="6" t="n"/>
      <c r="Q38" s="5" t="inlineStr"/>
    </row>
    <row r="39" ht="120" customHeight="1">
      <c r="A39" s="4" t="inlineStr">
        <is>
          <t>S-07</t>
        </is>
      </c>
      <c r="B39" s="5" t="inlineStr">
        <is>
          <t>Sonido</t>
        </is>
      </c>
      <c r="C39" s="5" t="inlineStr">
        <is>
          <t>Los samples de audio se alojan en el propio proyecto, con licencia verificada y documentada.</t>
        </is>
      </c>
      <c r="D39" s="5" t="inlineStr">
        <is>
          <t>Alta</t>
        </is>
      </c>
      <c r="E39" s="5" t="inlineStr">
        <is>
          <t>AR-01</t>
        </is>
      </c>
      <c r="F39" s="5" t="inlineStr">
        <is>
          <t>F2</t>
        </is>
      </c>
      <c r="G39" s="5" t="inlineStr">
        <is>
          <t>F2.1 · F2.3</t>
        </is>
      </c>
      <c r="H39" s="5" t="inlineStr">
        <is>
          <t>I</t>
        </is>
      </c>
      <c r="I39" s="5" t="inlineStr">
        <is>
          <t>Ninguna petición de audio sale del dominio propio, y CREDITOS.md documenta origen y licencia.</t>
        </is>
      </c>
      <c r="J39" s="5" t="inlineStr">
        <is>
          <t>Cumple</t>
        </is>
      </c>
      <c r="K39" s="5" t="inlineStr">
        <is>
          <t>0.2.3</t>
        </is>
      </c>
      <c r="L39" s="5" t="inlineStr">
        <is>
          <t>CREDITOS.md y samples/ (F2.1) · Banco (node --test): ninguna dirección externa (0.2.0) · licencia de los 161 sonidos del pack de nylon: CC BY, con filtros de control a 0 (20/10)</t>
        </is>
      </c>
      <c r="M39" s="5" t="inlineStr">
        <is>
          <t>Verificado</t>
        </is>
      </c>
      <c r="N39" s="5" t="inlineStr">
        <is>
          <t>Auditor de requisitos</t>
        </is>
      </c>
      <c r="O39"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39" s="6" t="n"/>
      <c r="Q39" s="5" t="inlineStr"/>
    </row>
    <row r="40" ht="120" customHeight="1">
      <c r="A40" s="4" t="inlineStr">
        <is>
          <t>S-08</t>
        </is>
      </c>
      <c r="B40" s="5" t="inlineStr">
        <is>
          <t>Sonido</t>
        </is>
      </c>
      <c r="C40" s="5" t="inlineStr">
        <is>
          <t>Cada nota suena a menos de 5 cents de su frecuencia, una vez corregida la desviación medida de su grabación. Cada grabación que usa la app es la nota a la que está asignada y tiene su desviación medida.</t>
        </is>
      </c>
      <c r="D40" s="5" t="inlineStr">
        <is>
          <t>Alta</t>
        </is>
      </c>
      <c r="E40" s="5" t="inlineStr">
        <is>
          <t>Desarrollo · medición F2.1</t>
        </is>
      </c>
      <c r="F40" s="5" t="inlineStr">
        <is>
          <t>F2</t>
        </is>
      </c>
      <c r="G40" s="5" t="inlineStr">
        <is>
          <t>F2.1 · F2.2 · F2.4</t>
        </is>
      </c>
      <c r="H40" s="5" t="inlineStr">
        <is>
          <t>T</t>
        </is>
      </c>
      <c r="I40" s="5" t="inlineStr">
        <is>
          <t>Cada nota posible, en los dos timbres, suena a ±5 cents de su frecuencia una vez aplicada la corrección de su grabación; cada grabación es la nota asignada (a menos de 50 cents) y su desviación coincide con samples/afinacion.json.</t>
        </is>
      </c>
      <c r="J40" s="5" t="inlineStr">
        <is>
          <t>Cumple</t>
        </is>
      </c>
      <c r="K40" s="5" t="inlineStr">
        <is>
          <t>0.1.3</t>
        </is>
      </c>
      <c r="L40" s="5" t="inlineStr">
        <is>
          <t>samples/afinacion.json · Banco (node --test): grabaciones y todas las notas (±0,5 cents) · V-02, V-03 y V-04: notas grabadas en el navegador, a menos de 1 cent</t>
        </is>
      </c>
      <c r="M40" s="5" t="inlineStr">
        <is>
          <t>Verificado</t>
        </is>
      </c>
      <c r="N40" s="5" t="inlineStr">
        <is>
          <t>Banco automático + auditor técnico</t>
        </is>
      </c>
      <c r="O40"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0" s="6" t="n"/>
      <c r="Q40" s="5" t="inlineStr"/>
    </row>
    <row r="41" ht="63" customHeight="1">
      <c r="A41" s="4" t="inlineStr">
        <is>
          <t>S-09</t>
        </is>
      </c>
      <c r="B41" s="5" t="inlineStr">
        <is>
          <t>Sonido</t>
        </is>
      </c>
      <c r="C41" s="5" t="inlineStr">
        <is>
          <t>El timbre se parece más al de una guitarra real: grabaciones de más calidad o más notas grabadas por cuerda.</t>
        </is>
      </c>
      <c r="D41" s="5" t="inlineStr">
        <is>
          <t>Baja</t>
        </is>
      </c>
      <c r="E41" s="5" t="inlineStr">
        <is>
          <t>Cliente · listado 14/09</t>
        </is>
      </c>
      <c r="F41" s="5" t="inlineStr">
        <is>
          <t>Posterior</t>
        </is>
      </c>
      <c r="G41" s="5" t="inlineStr">
        <is>
          <t>Posterior</t>
        </is>
      </c>
      <c r="H41" s="5" t="inlineStr">
        <is>
          <t>N/A</t>
        </is>
      </c>
      <c r="I41" s="5" t="inlineStr">
        <is>
          <t>Fuera del alcance actual.</t>
        </is>
      </c>
      <c r="J41" s="5" t="inlineStr">
        <is>
          <t>No aplica</t>
        </is>
      </c>
      <c r="K41" s="5" t="inlineStr">
        <is>
          <t>—</t>
        </is>
      </c>
      <c r="L41" s="5" t="inlineStr">
        <is>
          <t>—</t>
        </is>
      </c>
      <c r="M41" s="5" t="inlineStr">
        <is>
          <t>No aplica</t>
        </is>
      </c>
      <c r="N41" s="5" t="inlineStr">
        <is>
          <t>—</t>
        </is>
      </c>
      <c r="O41" s="5" t="inlineStr">
        <is>
          <t>Tu comentario de la Sesión 1 (E03 y E04): suena «diferente» a tu guitarra. Exige buscar otro banco de grabaciones con licencia libre (S-07), medirlo (S-08) y que lo escuches.</t>
        </is>
      </c>
      <c r="P41" s="6" t="n"/>
      <c r="Q41" s="5" t="inlineStr"/>
    </row>
    <row r="42" ht="93" customHeight="1">
      <c r="A42" s="4" t="inlineStr">
        <is>
          <t>P-01</t>
        </is>
      </c>
      <c r="B42" s="5" t="inlineStr">
        <is>
          <t>Pentagrama</t>
        </is>
      </c>
      <c r="C42" s="5" t="inlineStr">
        <is>
          <t>Al pulsar una nota en el mástil, se representa en el pentagrama.</t>
        </is>
      </c>
      <c r="D42" s="5" t="inlineStr">
        <is>
          <t>Alta</t>
        </is>
      </c>
      <c r="E42" s="5" t="inlineStr">
        <is>
          <t>Cliente · listado 14/09</t>
        </is>
      </c>
      <c r="F42" s="5" t="inlineStr">
        <is>
          <t>F1</t>
        </is>
      </c>
      <c r="G42" s="5" t="inlineStr">
        <is>
          <t>F1.1</t>
        </is>
      </c>
      <c r="H42" s="5" t="inlineStr">
        <is>
          <t>A</t>
        </is>
      </c>
      <c r="I42" s="5" t="inlineStr">
        <is>
          <t>Toda posición del mástil, en cualquier afinación permitida, se dibuja dentro del pentagrama.</t>
        </is>
      </c>
      <c r="J42" s="5" t="inlineStr">
        <is>
          <t>Cumple</t>
        </is>
      </c>
      <c r="K42" s="5" t="inlineStr">
        <is>
          <t>0.1.0</t>
        </is>
      </c>
      <c r="L42" s="5" t="inlineStr">
        <is>
          <t>Análisis 15/09: ninguna nota fuera en todo el rango · F1.1 #3 y #4 · Sesión 1: A05</t>
        </is>
      </c>
      <c r="M42" s="5" t="inlineStr">
        <is>
          <t>Verificado</t>
        </is>
      </c>
      <c r="N42" s="5" t="inlineStr">
        <is>
          <t>Auditor técnico</t>
        </is>
      </c>
      <c r="O42" s="5" t="inlineStr">
        <is>
          <t>Clave de sol octavada. Desde 0.1.1 las notas muy agudas o graves se dibujan transportadas con 8va, 15ma u 8vb, y la clave es un trazado propio que no depende de las fuentes del sistema. Validado en la Sesión 1 (20/10, informe V-08): A05.</t>
        </is>
      </c>
      <c r="P42" s="6" t="n"/>
      <c r="Q42" s="5" t="inlineStr"/>
    </row>
    <row r="43" ht="33" customHeight="1">
      <c r="A43" s="4" t="inlineStr">
        <is>
          <t>P-02</t>
        </is>
      </c>
      <c r="B43" s="5" t="inlineStr">
        <is>
          <t>Pentagrama</t>
        </is>
      </c>
      <c r="C43" s="5" t="inlineStr">
        <is>
          <t>El pentagrama se puede mostrar u ocultar.</t>
        </is>
      </c>
      <c r="D43" s="5" t="inlineStr">
        <is>
          <t>Alta</t>
        </is>
      </c>
      <c r="E43" s="5" t="inlineStr">
        <is>
          <t>Cliente · listado 14/09</t>
        </is>
      </c>
      <c r="F43" s="5" t="inlineStr">
        <is>
          <t>F1</t>
        </is>
      </c>
      <c r="G43" s="5" t="inlineStr">
        <is>
          <t>F1.1</t>
        </is>
      </c>
      <c r="H43" s="5" t="inlineStr">
        <is>
          <t>D</t>
        </is>
      </c>
      <c r="I43" s="5" t="inlineStr">
        <is>
          <t>El pentagrama se oculta y se muestra desde el chip y desde Ajustes.</t>
        </is>
      </c>
      <c r="J43" s="5" t="inlineStr">
        <is>
          <t>Cumple</t>
        </is>
      </c>
      <c r="K43" s="5" t="inlineStr">
        <is>
          <t>0.1.0</t>
        </is>
      </c>
      <c r="L43" s="5" t="inlineStr">
        <is>
          <t>F1.1 #14</t>
        </is>
      </c>
      <c r="M43" s="5" t="inlineStr">
        <is>
          <t>Pendiente</t>
        </is>
      </c>
      <c r="N43" s="5" t="inlineStr">
        <is>
          <t>Cliente</t>
        </is>
      </c>
      <c r="O43" s="5" t="inlineStr">
        <is>
          <t>En configuración y en acceso rápido.</t>
        </is>
      </c>
      <c r="P43" s="6" t="n"/>
      <c r="Q43" s="5" t="inlineStr"/>
    </row>
    <row r="44" ht="33" customHeight="1">
      <c r="A44" s="4" t="inlineStr">
        <is>
          <t>P-03</t>
        </is>
      </c>
      <c r="B44" s="5" t="inlineStr">
        <is>
          <t>Pentagrama</t>
        </is>
      </c>
      <c r="C44" s="5" t="inlineStr">
        <is>
          <t>El pentagrama está disponible en todos los modos de aprendizaje.</t>
        </is>
      </c>
      <c r="D44" s="5" t="inlineStr">
        <is>
          <t>Media</t>
        </is>
      </c>
      <c r="E44" s="5" t="inlineStr">
        <is>
          <t>Cliente · listado 14/09</t>
        </is>
      </c>
      <c r="F44" s="5" t="inlineStr">
        <is>
          <t>F5</t>
        </is>
      </c>
      <c r="G44" s="5" t="inlineStr">
        <is>
          <t>F5.3</t>
        </is>
      </c>
      <c r="H44" s="5" t="inlineStr">
        <is>
          <t>D</t>
        </is>
      </c>
      <c r="I44" s="5" t="inlineStr">
        <is>
          <t>El pentagrama funciona en Libre, Adivinar y Escalas.</t>
        </is>
      </c>
      <c r="J44" s="5" t="inlineStr">
        <is>
          <t>Cumple parcialmente</t>
        </is>
      </c>
      <c r="K44" s="5" t="inlineStr">
        <is>
          <t>0.1.0</t>
        </is>
      </c>
      <c r="L44" s="5" t="inlineStr">
        <is>
          <t>—</t>
        </is>
      </c>
      <c r="M44" s="5" t="inlineStr">
        <is>
          <t>Pendiente</t>
        </is>
      </c>
      <c r="N44" s="5" t="inlineStr">
        <is>
          <t>Cliente</t>
        </is>
      </c>
      <c r="O44" s="5" t="inlineStr">
        <is>
          <t>Libre y Adivinar sí. Escalas, en F5.</t>
        </is>
      </c>
      <c r="P44" s="6" t="n"/>
      <c r="Q44" s="5" t="inlineStr"/>
    </row>
    <row r="45" ht="33" customHeight="1">
      <c r="A45" s="4" t="inlineStr">
        <is>
          <t>P-04</t>
        </is>
      </c>
      <c r="B45" s="5" t="inlineStr">
        <is>
          <t>Pentagrama</t>
        </is>
      </c>
      <c r="C45" s="5" t="inlineStr">
        <is>
          <t>En el afinador, la afinación seleccionada se muestra como seis notas en un pentagrama.</t>
        </is>
      </c>
      <c r="D45" s="5" t="inlineStr">
        <is>
          <t>Media</t>
        </is>
      </c>
      <c r="E45" s="5" t="inlineStr">
        <is>
          <t>Cliente · listado 14/09</t>
        </is>
      </c>
      <c r="F45" s="5" t="inlineStr">
        <is>
          <t>F1</t>
        </is>
      </c>
      <c r="G45" s="5" t="inlineStr">
        <is>
          <t>F1.1</t>
        </is>
      </c>
      <c r="H45" s="5" t="inlineStr">
        <is>
          <t>D</t>
        </is>
      </c>
      <c r="I45" s="5" t="inlineStr">
        <is>
          <t>El afinador muestra en un pentagrama las seis notas de la afinación activa.</t>
        </is>
      </c>
      <c r="J45" s="5" t="inlineStr">
        <is>
          <t>Cumple</t>
        </is>
      </c>
      <c r="K45" s="5" t="inlineStr">
        <is>
          <t>0.1.0 **Validado en la Sesión 1** (20/10, informe `V-08`): A13.</t>
        </is>
      </c>
      <c r="L45" s="5" t="inlineStr">
        <is>
          <t>F1.1 #14 · Sesión 1: A13</t>
        </is>
      </c>
      <c r="M45" s="5" t="inlineStr">
        <is>
          <t>Verificado</t>
        </is>
      </c>
      <c r="N45" s="5" t="inlineStr">
        <is>
          <t>Cliente</t>
        </is>
      </c>
      <c r="O45" s="5" t="inlineStr"/>
      <c r="P45" s="6" t="n"/>
      <c r="Q45" s="5" t="inlineStr"/>
    </row>
    <row r="46" ht="33" customHeight="1">
      <c r="A46" s="4" t="inlineStr">
        <is>
          <t>L-01</t>
        </is>
      </c>
      <c r="B46" s="5" t="inlineStr">
        <is>
          <t>Modo Libre</t>
        </is>
      </c>
      <c r="C46" s="5" t="inlineStr">
        <is>
          <t>El modo por defecto al abrir la app es el diapasón libre.</t>
        </is>
      </c>
      <c r="D46" s="5" t="inlineStr">
        <is>
          <t>Alta</t>
        </is>
      </c>
      <c r="E46" s="5" t="inlineStr">
        <is>
          <t>Cliente · listado 14/09</t>
        </is>
      </c>
      <c r="F46" s="5" t="inlineStr">
        <is>
          <t>F1</t>
        </is>
      </c>
      <c r="G46" s="5" t="inlineStr">
        <is>
          <t>F1.1</t>
        </is>
      </c>
      <c r="H46" s="5" t="inlineStr">
        <is>
          <t>D</t>
        </is>
      </c>
      <c r="I46" s="5" t="inlineStr">
        <is>
          <t>Al abrir la app se muestra el modo Libre.</t>
        </is>
      </c>
      <c r="J46" s="5" t="inlineStr">
        <is>
          <t>Cumple</t>
        </is>
      </c>
      <c r="K46" s="5" t="inlineStr">
        <is>
          <t>0.1.0 **Validado en la Sesión 1** (20/10, informe `V-08`): A01.</t>
        </is>
      </c>
      <c r="L46" s="5" t="inlineStr">
        <is>
          <t>F1.1 #14 · Sesión 1: A01</t>
        </is>
      </c>
      <c r="M46" s="5" t="inlineStr">
        <is>
          <t>Verificado</t>
        </is>
      </c>
      <c r="N46" s="5" t="inlineStr">
        <is>
          <t>Cliente</t>
        </is>
      </c>
      <c r="O46" s="5" t="inlineStr"/>
      <c r="P46" s="6" t="n"/>
      <c r="Q46" s="5" t="inlineStr"/>
    </row>
    <row r="47" ht="63" customHeight="1">
      <c r="A47" s="4" t="inlineStr">
        <is>
          <t>L-02</t>
        </is>
      </c>
      <c r="B47" s="5" t="inlineStr">
        <is>
          <t>Modo Libre</t>
        </is>
      </c>
      <c r="C47" s="5" t="inlineStr">
        <is>
          <t>El usuario decide si ve el nombre de todas las notas del mástil o solo el de la que pulsa.</t>
        </is>
      </c>
      <c r="D47" s="5" t="inlineStr">
        <is>
          <t>Alta</t>
        </is>
      </c>
      <c r="E47" s="5" t="inlineStr">
        <is>
          <t>Cliente · listado 14/09</t>
        </is>
      </c>
      <c r="F47" s="5" t="inlineStr">
        <is>
          <t>F1</t>
        </is>
      </c>
      <c r="G47" s="5" t="inlineStr">
        <is>
          <t>F1.1</t>
        </is>
      </c>
      <c r="H47" s="5" t="inlineStr">
        <is>
          <t>D</t>
        </is>
      </c>
      <c r="I47" s="5" t="inlineStr">
        <is>
          <t>Con «Ver todas las notas» se ven todos los nombres; sin él, solo el de la nota pulsada.</t>
        </is>
      </c>
      <c r="J47" s="5" t="inlineStr">
        <is>
          <t>Cumple</t>
        </is>
      </c>
      <c r="K47" s="5" t="inlineStr">
        <is>
          <t>0.1.0</t>
        </is>
      </c>
      <c r="L47" s="5" t="inlineStr">
        <is>
          <t>Banco (node --test) · F1.1 #10 · Sesión 1: A10</t>
        </is>
      </c>
      <c r="M47" s="5" t="inlineStr">
        <is>
          <t>Verificado</t>
        </is>
      </c>
      <c r="N47" s="5" t="inlineStr">
        <is>
          <t>Cliente</t>
        </is>
      </c>
      <c r="O47" s="5" t="inlineStr">
        <is>
          <t>Por defecto solo la pulsada, para no convertir el mástil en una chuleta permanente. En Adivinar no se aplica (J-12). Validado en la Sesión 1 (20/10, informe V-08): A10.</t>
        </is>
      </c>
      <c r="P47" s="6" t="n"/>
      <c r="Q47" s="5" t="inlineStr"/>
    </row>
    <row r="48" ht="93" customHeight="1">
      <c r="A48" s="4" t="inlineStr">
        <is>
          <t>L-03</t>
        </is>
      </c>
      <c r="B48" s="5" t="inlineStr">
        <is>
          <t>Modo Libre</t>
        </is>
      </c>
      <c r="C48" s="5" t="inlineStr">
        <is>
          <t>Al pulsar una nota se señalan discretamente las demás posiciones que producen exactamente la misma nota (mismo sonido, no misma clase de nota).</t>
        </is>
      </c>
      <c r="D48" s="5" t="inlineStr">
        <is>
          <t>Media</t>
        </is>
      </c>
      <c r="E48" s="5" t="inlineStr">
        <is>
          <t>Cliente · listado 14/09</t>
        </is>
      </c>
      <c r="F48" s="5" t="inlineStr">
        <is>
          <t>F1</t>
        </is>
      </c>
      <c r="G48" s="5" t="inlineStr">
        <is>
          <t>F1.1</t>
        </is>
      </c>
      <c r="H48" s="5" t="inlineStr">
        <is>
          <t>D</t>
        </is>
      </c>
      <c r="I48" s="5" t="inlineStr">
        <is>
          <t>Al pulsar una nota se señalan las demás posiciones con el mismo sonido exacto y ninguna de otra octava.</t>
        </is>
      </c>
      <c r="J48" s="5" t="inlineStr">
        <is>
          <t>Cumple</t>
        </is>
      </c>
      <c r="K48" s="5" t="inlineStr">
        <is>
          <t>0.1.0</t>
        </is>
      </c>
      <c r="L48" s="5" t="inlineStr">
        <is>
          <t>F1.1 #14 · Sesión 1: E03</t>
        </is>
      </c>
      <c r="M48" s="5" t="inlineStr">
        <is>
          <t>Verificado</t>
        </is>
      </c>
      <c r="N48" s="5" t="inlineStr">
        <is>
          <t>Cliente</t>
        </is>
      </c>
      <c r="O48" s="5" t="inlineStr">
        <is>
          <t>Desde la 0.3.1 se señalan con contorno, sin relleno, y con «Ver todas las notas» llevan además un anillo claro por fuera (AR-06). Señal deliberadamente más tenue que la nota pulsada. Validado en la Sesión 1 (20/10, informe V-08): E03.</t>
        </is>
      </c>
      <c r="P48" s="6" t="n"/>
      <c r="Q48" s="5" t="inlineStr"/>
    </row>
    <row r="49" ht="120" customHeight="1">
      <c r="A49" s="4" t="inlineStr">
        <is>
          <t>J-01</t>
        </is>
      </c>
      <c r="B49" s="5" t="inlineStr">
        <is>
          <t>Modo Adivinar</t>
        </is>
      </c>
      <c r="C49" s="5" t="inlineStr">
        <is>
          <t>Suena una nota aleatoria y el usuario busca su posición en el mástil.</t>
        </is>
      </c>
      <c r="D49" s="5" t="inlineStr">
        <is>
          <t>Alta</t>
        </is>
      </c>
      <c r="E49" s="5" t="inlineStr">
        <is>
          <t>Cliente · listado 14/09</t>
        </is>
      </c>
      <c r="F49" s="5" t="inlineStr">
        <is>
          <t>F1</t>
        </is>
      </c>
      <c r="G49" s="5" t="inlineStr">
        <is>
          <t>F1.1</t>
        </is>
      </c>
      <c r="H49" s="5" t="inlineStr">
        <is>
          <t>D</t>
        </is>
      </c>
      <c r="I49"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49" s="5" t="inlineStr">
        <is>
          <t>Cumple</t>
        </is>
      </c>
      <c r="K49" s="5" t="inlineStr">
        <is>
          <t>0.1.0</t>
        </is>
      </c>
      <c r="L49" s="5" t="inlineStr">
        <is>
          <t>F1.1 #14 · Banco (node --test): ▶, y lectura de la nota tocada con las pistas aparte · Sesión 1: C07 y E04</t>
        </is>
      </c>
      <c r="M49" s="5" t="inlineStr">
        <is>
          <t>Pendiente</t>
        </is>
      </c>
      <c r="N49" s="5" t="inlineStr">
        <is>
          <t>Cliente</t>
        </is>
      </c>
      <c r="O49"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49" s="6" t="n"/>
      <c r="Q49" s="5" t="inlineStr">
        <is>
          <t>Modificado</t>
        </is>
      </c>
    </row>
    <row r="50" ht="33" customHeight="1">
      <c r="A50" s="4" t="inlineStr">
        <is>
          <t>J-02</t>
        </is>
      </c>
      <c r="B50" s="5" t="inlineStr">
        <is>
          <t>Modo Adivinar</t>
        </is>
      </c>
      <c r="C50" s="5" t="inlineStr">
        <is>
          <t>Se acepta como acierto cualquier posición que produzca esa nota exacta.</t>
        </is>
      </c>
      <c r="D50" s="5" t="inlineStr">
        <is>
          <t>Alta</t>
        </is>
      </c>
      <c r="E50" s="5" t="inlineStr">
        <is>
          <t>Cliente · listado 14/09</t>
        </is>
      </c>
      <c r="F50" s="5" t="inlineStr">
        <is>
          <t>F1</t>
        </is>
      </c>
      <c r="G50" s="5" t="inlineStr">
        <is>
          <t>F1.1</t>
        </is>
      </c>
      <c r="H50" s="5" t="inlineStr">
        <is>
          <t>T</t>
        </is>
      </c>
      <c r="I50" s="5" t="inlineStr">
        <is>
          <t>Cualquier posición con el mismo sonido cuenta como acierto.</t>
        </is>
      </c>
      <c r="J50" s="5" t="inlineStr">
        <is>
          <t>Cumple</t>
        </is>
      </c>
      <c r="K50" s="5" t="inlineStr">
        <is>
          <t>0.1.0 **Validado en la Sesión 1** (20/10, informe `V-08`): E04.</t>
        </is>
      </c>
      <c r="L50" s="5" t="inlineStr">
        <is>
          <t>Banco (node --test): acierto · Sesión 1: E04</t>
        </is>
      </c>
      <c r="M50" s="5" t="inlineStr">
        <is>
          <t>Verificado</t>
        </is>
      </c>
      <c r="N50" s="5" t="inlineStr">
        <is>
          <t>Banco automático + auditor técnico</t>
        </is>
      </c>
      <c r="O50" s="5" t="inlineStr"/>
      <c r="P50" s="6" t="n"/>
      <c r="Q50" s="5" t="inlineStr"/>
    </row>
    <row r="51" ht="33" customHeight="1">
      <c r="A51" s="4" t="inlineStr">
        <is>
          <t>J-03</t>
        </is>
      </c>
      <c r="B51" s="5" t="inlineStr">
        <is>
          <t>Modo Adivinar</t>
        </is>
      </c>
      <c r="C51" s="5" t="inlineStr">
        <is>
          <t>Tras acertar se señalan las demás posiciones válidas.</t>
        </is>
      </c>
      <c r="D51" s="5" t="inlineStr">
        <is>
          <t>Media</t>
        </is>
      </c>
      <c r="E51" s="5" t="inlineStr">
        <is>
          <t>Cliente · listado 14/09</t>
        </is>
      </c>
      <c r="F51" s="5" t="inlineStr">
        <is>
          <t>F1</t>
        </is>
      </c>
      <c r="G51" s="5" t="inlineStr">
        <is>
          <t>F1.1</t>
        </is>
      </c>
      <c r="H51" s="5" t="inlineStr">
        <is>
          <t>D</t>
        </is>
      </c>
      <c r="I51" s="5" t="inlineStr">
        <is>
          <t>Tras acertar se señalan las demás posiciones válidas.</t>
        </is>
      </c>
      <c r="J51" s="5" t="inlineStr">
        <is>
          <t>Cumple</t>
        </is>
      </c>
      <c r="K51" s="5" t="inlineStr">
        <is>
          <t>0.1.0</t>
        </is>
      </c>
      <c r="L51" s="5" t="inlineStr">
        <is>
          <t>F1.1 #14 · Sesión 1: E04</t>
        </is>
      </c>
      <c r="M51" s="5" t="inlineStr">
        <is>
          <t>Verificado</t>
        </is>
      </c>
      <c r="N51" s="5" t="inlineStr">
        <is>
          <t>Cliente</t>
        </is>
      </c>
      <c r="O51" s="5" t="inlineStr">
        <is>
          <t>Reutiliza la lógica de L-03. Validado en la Sesión 1 (20/10, informe V-08): E04.</t>
        </is>
      </c>
      <c r="P51" s="6" t="n"/>
      <c r="Q51" s="5" t="inlineStr"/>
    </row>
    <row r="52" ht="33" customHeight="1">
      <c r="A52" s="4" t="inlineStr">
        <is>
          <t>J-04</t>
        </is>
      </c>
      <c r="B52" s="5" t="inlineStr">
        <is>
          <t>Modo Adivinar</t>
        </is>
      </c>
      <c r="C52" s="5" t="inlineStr">
        <is>
          <t>Pista opcional: nombre de la nota que suena.</t>
        </is>
      </c>
      <c r="D52" s="5" t="inlineStr">
        <is>
          <t>Alta</t>
        </is>
      </c>
      <c r="E52" s="5" t="inlineStr">
        <is>
          <t>Cliente · listado 14/09</t>
        </is>
      </c>
      <c r="F52" s="5" t="inlineStr">
        <is>
          <t>F1</t>
        </is>
      </c>
      <c r="G52" s="5" t="inlineStr">
        <is>
          <t>F1.1</t>
        </is>
      </c>
      <c r="H52" s="5" t="inlineStr">
        <is>
          <t>D</t>
        </is>
      </c>
      <c r="I52" s="5" t="inlineStr">
        <is>
          <t>La pista «Nombre» muestra el nombre y la octava de la nota que suena.</t>
        </is>
      </c>
      <c r="J52" s="5" t="inlineStr">
        <is>
          <t>Cumple</t>
        </is>
      </c>
      <c r="K52" s="5" t="inlineStr">
        <is>
          <t>0.1.0 **Validado en la Sesión 1** (20/10, informe `V-08`): E04.</t>
        </is>
      </c>
      <c r="L52" s="5" t="inlineStr">
        <is>
          <t>F1.1 #14 · Sesión 1: E04</t>
        </is>
      </c>
      <c r="M52" s="5" t="inlineStr">
        <is>
          <t>Verificado</t>
        </is>
      </c>
      <c r="N52" s="5" t="inlineStr">
        <is>
          <t>Cliente</t>
        </is>
      </c>
      <c r="O52" s="5" t="inlineStr"/>
      <c r="P52" s="6" t="n"/>
      <c r="Q52" s="5" t="inlineStr"/>
    </row>
    <row r="53" ht="33" customHeight="1">
      <c r="A53" s="4" t="inlineStr">
        <is>
          <t>J-05</t>
        </is>
      </c>
      <c r="B53" s="5" t="inlineStr">
        <is>
          <t>Modo Adivinar</t>
        </is>
      </c>
      <c r="C53" s="5" t="inlineStr">
        <is>
          <t>Pista opcional: cuerda o cuerdas donde puede encontrarse.</t>
        </is>
      </c>
      <c r="D53" s="5" t="inlineStr">
        <is>
          <t>Alta</t>
        </is>
      </c>
      <c r="E53" s="5" t="inlineStr">
        <is>
          <t>Cliente · listado 14/09</t>
        </is>
      </c>
      <c r="F53" s="5" t="inlineStr">
        <is>
          <t>F1</t>
        </is>
      </c>
      <c r="G53" s="5" t="inlineStr">
        <is>
          <t>F1.1</t>
        </is>
      </c>
      <c r="H53" s="5" t="inlineStr">
        <is>
          <t>D</t>
        </is>
      </c>
      <c r="I53" s="5" t="inlineStr">
        <is>
          <t>La pista «Cuerda» lista las cuerdas donde puede estar la nota.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120" customHeight="1">
      <c r="A54" s="4" t="inlineStr">
        <is>
          <t>J-06</t>
        </is>
      </c>
      <c r="B54" s="5" t="inlineStr">
        <is>
          <t>Modo Adivinar</t>
        </is>
      </c>
      <c r="C54" s="5" t="inlineStr">
        <is>
          <t>Las pistas se activan desde la propia interfaz, sin abrir el menú.</t>
        </is>
      </c>
      <c r="D54" s="5" t="inlineStr">
        <is>
          <t>Alta</t>
        </is>
      </c>
      <c r="E54" s="5" t="inlineStr">
        <is>
          <t>Cliente · listado 14/09</t>
        </is>
      </c>
      <c r="F54" s="5" t="inlineStr">
        <is>
          <t>F1</t>
        </is>
      </c>
      <c r="G54" s="5" t="inlineStr">
        <is>
          <t>F1.1</t>
        </is>
      </c>
      <c r="H54" s="5" t="inlineStr">
        <is>
          <t>D</t>
        </is>
      </c>
      <c r="I54" s="5" t="inlineStr">
        <is>
          <t>Las dos pistas se activan con chips visibles en Adivinar, sin abrir Ajustes; encendidas, enseñan su respuesta en grande (0.4.1).</t>
        </is>
      </c>
      <c r="J54" s="5" t="inlineStr">
        <is>
          <t>Cumple</t>
        </is>
      </c>
      <c r="K54" s="5" t="inlineStr">
        <is>
          <t>0.1.0</t>
        </is>
      </c>
      <c r="L54" s="5" t="inlineStr">
        <is>
          <t>F1.1 #14 · Banco (node --test): pistas grandes, también antes de ▶ · Sesión 1: E04</t>
        </is>
      </c>
      <c r="M54" s="5" t="inlineStr">
        <is>
          <t>Verificado</t>
        </is>
      </c>
      <c r="N54" s="5" t="inlineStr">
        <is>
          <t>Cliente</t>
        </is>
      </c>
      <c r="O54"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4" s="6" t="n"/>
      <c r="Q54" s="5" t="inlineStr">
        <is>
          <t>Modificado</t>
        </is>
      </c>
    </row>
    <row r="55" ht="33" customHeight="1">
      <c r="A55" s="4" t="inlineStr">
        <is>
          <t>J-07</t>
        </is>
      </c>
      <c r="B55" s="5" t="inlineStr">
        <is>
          <t>Modo Adivinar</t>
        </is>
      </c>
      <c r="C55" s="5" t="inlineStr">
        <is>
          <t>Contador de racha visible durante el juego.</t>
        </is>
      </c>
      <c r="D55" s="5" t="inlineStr">
        <is>
          <t>Alta</t>
        </is>
      </c>
      <c r="E55" s="5" t="inlineStr">
        <is>
          <t>Cliente · listado 14/09</t>
        </is>
      </c>
      <c r="F55" s="5" t="inlineStr">
        <is>
          <t>F1</t>
        </is>
      </c>
      <c r="G55" s="5" t="inlineStr">
        <is>
          <t>F1.1</t>
        </is>
      </c>
      <c r="H55" s="5" t="inlineStr">
        <is>
          <t>T</t>
        </is>
      </c>
      <c r="I55" s="5" t="inlineStr">
        <is>
          <t>La racha sube con cada acierto y vuelve a 0 con cada fallo.</t>
        </is>
      </c>
      <c r="J55" s="5" t="inlineStr">
        <is>
          <t>Cumple</t>
        </is>
      </c>
      <c r="K55" s="5" t="inlineStr">
        <is>
          <t>0.1.0 **Validado en la Sesión 1** (20/10, informe `V-08`): E04.</t>
        </is>
      </c>
      <c r="L55" s="5" t="inlineStr">
        <is>
          <t>Banco (node --test): acierto y fallo · Sesión 1: E04</t>
        </is>
      </c>
      <c r="M55" s="5" t="inlineStr">
        <is>
          <t>Verificado</t>
        </is>
      </c>
      <c r="N55" s="5" t="inlineStr">
        <is>
          <t>Banco automático + auditor técnico</t>
        </is>
      </c>
      <c r="O55" s="5" t="inlineStr"/>
      <c r="P55" s="6" t="n"/>
      <c r="Q55" s="5" t="inlineStr"/>
    </row>
    <row r="56" ht="120" customHeight="1">
      <c r="A56" s="4" t="inlineStr">
        <is>
          <t>J-08</t>
        </is>
      </c>
      <c r="B56" s="5" t="inlineStr">
        <is>
          <t>Modo Adivinar</t>
        </is>
      </c>
      <c r="C56" s="5" t="inlineStr">
        <is>
          <t>El récord de racha más larga persiste entre sesiones.</t>
        </is>
      </c>
      <c r="D56" s="5" t="inlineStr">
        <is>
          <t>Alta</t>
        </is>
      </c>
      <c r="E56" s="5" t="inlineStr">
        <is>
          <t>Cliente · listado 14/09</t>
        </is>
      </c>
      <c r="F56" s="5" t="inlineStr">
        <is>
          <t>F1</t>
        </is>
      </c>
      <c r="G56" s="5" t="inlineStr">
        <is>
          <t>F1.1</t>
        </is>
      </c>
      <c r="H56" s="5" t="inlineStr">
        <is>
          <t>T</t>
        </is>
      </c>
      <c r="I56" s="5" t="inlineStr">
        <is>
          <t>El récord de cada afinación persiste tras recargar y tras «Restablecer todos los ajustes»; solo «Borrar los récords de racha» los pone a cero.</t>
        </is>
      </c>
      <c r="J56" s="5" t="inlineStr">
        <is>
          <t>Cumple</t>
        </is>
      </c>
      <c r="K56" s="5" t="inlineStr">
        <is>
          <t>0.1.0</t>
        </is>
      </c>
      <c r="L56" s="5" t="inlineStr">
        <is>
          <t>Banco (node --test): récords por afinación guardados y restablecer · F1.1 #13 · Sesión 1: A15</t>
        </is>
      </c>
      <c r="M56" s="5" t="inlineStr">
        <is>
          <t>Verificado parcialmente</t>
        </is>
      </c>
      <c r="N56" s="5" t="inlineStr">
        <is>
          <t>Banco automático + auditor técnico</t>
        </is>
      </c>
      <c r="O56"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6" s="6" t="n"/>
      <c r="Q56" s="5" t="inlineStr">
        <is>
          <t>Modificado</t>
        </is>
      </c>
    </row>
    <row r="57" ht="48" customHeight="1">
      <c r="A57" s="4" t="inlineStr">
        <is>
          <t>J-09</t>
        </is>
      </c>
      <c r="B57" s="5" t="inlineStr">
        <is>
          <t>Modo Adivinar</t>
        </is>
      </c>
      <c r="C57" s="5" t="inlineStr">
        <is>
          <t>Feedback visual inmediato de acierto y de error.</t>
        </is>
      </c>
      <c r="D57" s="5" t="inlineStr">
        <is>
          <t>Alta</t>
        </is>
      </c>
      <c r="E57" s="5" t="inlineStr">
        <is>
          <t>Cliente · listado 14/09</t>
        </is>
      </c>
      <c r="F57" s="5" t="inlineStr">
        <is>
          <t>F1</t>
        </is>
      </c>
      <c r="G57" s="5" t="inlineStr">
        <is>
          <t>F1.1</t>
        </is>
      </c>
      <c r="H57" s="5" t="inlineStr">
        <is>
          <t>D</t>
        </is>
      </c>
      <c r="I57" s="5" t="inlineStr">
        <is>
          <t>Acierto y fallo se distinguen al instante por color y destello.</t>
        </is>
      </c>
      <c r="J57" s="5" t="inlineStr">
        <is>
          <t>Cumple</t>
        </is>
      </c>
      <c r="K57" s="5" t="inlineStr">
        <is>
          <t>0.1.0</t>
        </is>
      </c>
      <c r="L57" s="5" t="inlineStr">
        <is>
          <t>F1.1 #9 · Sesión 1: A09 y E04</t>
        </is>
      </c>
      <c r="M57" s="5" t="inlineStr">
        <is>
          <t>Verificado</t>
        </is>
      </c>
      <c r="N57" s="5" t="inlineStr">
        <is>
          <t>Cliente</t>
        </is>
      </c>
      <c r="O57" s="5" t="inlineStr">
        <is>
          <t>Color en la posición pulsada y destello en la barra del reto. Validado en la Sesión 1 (20/10, informe V-08): A09 y E04.</t>
        </is>
      </c>
      <c r="P57" s="6" t="n"/>
      <c r="Q57" s="5" t="inlineStr"/>
    </row>
    <row r="58" ht="120" customHeight="1">
      <c r="A58" s="4" t="inlineStr">
        <is>
          <t>J-10</t>
        </is>
      </c>
      <c r="B58" s="5" t="inlineStr">
        <is>
          <t>Modo Adivinar</t>
        </is>
      </c>
      <c r="C58" s="5" t="inlineStr">
        <is>
          <t>Al fallar se indica cuál era la posición correcta.</t>
        </is>
      </c>
      <c r="D58" s="5" t="inlineStr">
        <is>
          <t>Media</t>
        </is>
      </c>
      <c r="E58" s="5" t="inlineStr">
        <is>
          <t>Cliente · listado 14/09</t>
        </is>
      </c>
      <c r="F58" s="5" t="inlineStr">
        <is>
          <t>F1</t>
        </is>
      </c>
      <c r="G58" s="5" t="inlineStr">
        <is>
          <t>F1.3</t>
        </is>
      </c>
      <c r="H58" s="5" t="inlineStr">
        <is>
          <t>T</t>
        </is>
      </c>
      <c r="I58" s="5" t="inlineStr">
        <is>
          <t>Tras un fallo se marca la pulsada (relleno rojo y ✗); a los 1,2 s suena la nota buscada y se iluminan todas sus posiciones (relleno verde y ✓); 3 s después llega un reto nuevo limpio.</t>
        </is>
      </c>
      <c r="J58" s="5" t="inlineStr">
        <is>
          <t>Cumple</t>
        </is>
      </c>
      <c r="K58" s="5" t="inlineStr">
        <is>
          <t>0.1.2</t>
        </is>
      </c>
      <c r="L58" s="5" t="inlineStr">
        <is>
          <t>Banco (node --test): 8 comprobaciones · F1.1 #9 · Sesión 1: A09</t>
        </is>
      </c>
      <c r="M58" s="5" t="inlineStr">
        <is>
          <t>Verificado parcialmente</t>
        </is>
      </c>
      <c r="N58" s="5" t="inlineStr">
        <is>
          <t>Banco automático + auditor técnico</t>
        </is>
      </c>
      <c r="O58"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8" s="6" t="n"/>
      <c r="Q58" s="5" t="inlineStr"/>
    </row>
    <row r="59" ht="120" customHeight="1">
      <c r="A59" s="4" t="inlineStr">
        <is>
          <t>J-11</t>
        </is>
      </c>
      <c r="B59" s="5" t="inlineStr">
        <is>
          <t>Modo Adivinar</t>
        </is>
      </c>
      <c r="C59" s="5" t="inlineStr">
        <is>
          <t>Cada afinación tiene su propio récord de racha.</t>
        </is>
      </c>
      <c r="D59" s="5" t="inlineStr">
        <is>
          <t>Media</t>
        </is>
      </c>
      <c r="E59" s="5" t="inlineStr">
        <is>
          <t>Desarrollo · v1.1</t>
        </is>
      </c>
      <c r="F59" s="5" t="inlineStr">
        <is>
          <t>F4</t>
        </is>
      </c>
      <c r="G59" s="5" t="inlineStr">
        <is>
          <t>F4.4</t>
        </is>
      </c>
      <c r="H59" s="5" t="inlineStr">
        <is>
          <t>T</t>
        </is>
      </c>
      <c r="I59" s="5" t="inlineStr">
        <is>
          <t>Cada afinación guarda su récord; el récord único de antes pasa a Estándar; cambiar de afinación empieza la racha.</t>
        </is>
      </c>
      <c r="J59" s="5" t="inlineStr">
        <is>
          <t>Cumple</t>
        </is>
      </c>
      <c r="K59" s="5" t="inlineStr">
        <is>
          <t>0.4.1</t>
        </is>
      </c>
      <c r="L59" s="5" t="inlineStr">
        <is>
          <t>Banco (node --test): récord por afinación, migración y cambio de afinación</t>
        </is>
      </c>
      <c r="M59" s="5" t="inlineStr">
        <is>
          <t>Verificado</t>
        </is>
      </c>
      <c r="N59" s="5" t="inlineStr">
        <is>
          <t>Banco automático + auditor técnico</t>
        </is>
      </c>
      <c r="O59"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59" s="6" t="n"/>
      <c r="Q59" s="5" t="inlineStr">
        <is>
          <t>Modificado</t>
        </is>
      </c>
    </row>
    <row r="60" ht="63" customHeight="1">
      <c r="A60" s="4" t="inlineStr">
        <is>
          <t>J-12</t>
        </is>
      </c>
      <c r="B60" s="5" t="inlineStr">
        <is>
          <t>Modo Adivinar</t>
        </is>
      </c>
      <c r="C60" s="5" t="inlineStr">
        <is>
          <t>Los ajustes que revelan la respuesta —ver todas las notas— no se aplican en Adivinar.</t>
        </is>
      </c>
      <c r="D60" s="5" t="inlineStr">
        <is>
          <t>Alta</t>
        </is>
      </c>
      <c r="E60" s="5" t="inlineStr">
        <is>
          <t>Revisión de código 0.1.2</t>
        </is>
      </c>
      <c r="F60" s="5" t="inlineStr">
        <is>
          <t>F1</t>
        </is>
      </c>
      <c r="G60" s="5" t="inlineStr">
        <is>
          <t>F1.3</t>
        </is>
      </c>
      <c r="H60" s="5" t="inlineStr">
        <is>
          <t>T</t>
        </is>
      </c>
      <c r="I60" s="5" t="inlineStr">
        <is>
          <t>Con «Ver todas las notas» activo, Adivinar no muestra los nombres.</t>
        </is>
      </c>
      <c r="J60" s="5" t="inlineStr">
        <is>
          <t>Cumple</t>
        </is>
      </c>
      <c r="K60" s="5" t="inlineStr">
        <is>
          <t>0.1.2</t>
        </is>
      </c>
      <c r="L60" s="5" t="inlineStr">
        <is>
          <t>Banco (node --test) · F1.1 #10 · Sesión 1: A10</t>
        </is>
      </c>
      <c r="M60" s="5" t="inlineStr">
        <is>
          <t>Verificado</t>
        </is>
      </c>
      <c r="N60" s="5" t="inlineStr">
        <is>
          <t>Banco automático + auditor técnico</t>
        </is>
      </c>
      <c r="O60" s="5" t="inlineStr">
        <is>
          <t>Encontrado al revisar el código: con «ver todas las notas» activo, el juego mostraba la solución. Validado en la Sesión 1 (20/10, informe V-08): A10.</t>
        </is>
      </c>
      <c r="P60" s="6" t="n"/>
      <c r="Q60" s="5" t="inlineStr"/>
    </row>
    <row r="61" ht="33" customHeight="1">
      <c r="A61" s="4" t="inlineStr">
        <is>
          <t>E-01</t>
        </is>
      </c>
      <c r="B61" s="5" t="inlineStr">
        <is>
          <t>Escalas</t>
        </is>
      </c>
      <c r="C61" s="5" t="inlineStr">
        <is>
          <t>Selección de escala a practicar (tónica + tipo).</t>
        </is>
      </c>
      <c r="D61" s="5" t="inlineStr">
        <is>
          <t>Alta</t>
        </is>
      </c>
      <c r="E61" s="5" t="inlineStr">
        <is>
          <t>Cliente · listado 14/09</t>
        </is>
      </c>
      <c r="F61" s="5" t="inlineStr">
        <is>
          <t>F5</t>
        </is>
      </c>
      <c r="G61" s="5" t="inlineStr">
        <is>
          <t>F5.2</t>
        </is>
      </c>
      <c r="H61" s="5" t="inlineStr">
        <is>
          <t>D</t>
        </is>
      </c>
      <c r="I61" s="5" t="inlineStr">
        <is>
          <t>Se puede elegir tónica y tipo de escala entre el catálogo aprobado.</t>
        </is>
      </c>
      <c r="J61" s="5" t="inlineStr">
        <is>
          <t>No cumple</t>
        </is>
      </c>
      <c r="K61" s="5" t="inlineStr">
        <is>
          <t>—</t>
        </is>
      </c>
      <c r="L61" s="5" t="inlineStr">
        <is>
          <t>—</t>
        </is>
      </c>
      <c r="M61" s="5" t="inlineStr">
        <is>
          <t>Pendiente</t>
        </is>
      </c>
      <c r="N61" s="5" t="inlineStr">
        <is>
          <t>Cliente</t>
        </is>
      </c>
      <c r="O61" s="5" t="inlineStr">
        <is>
          <t>Catálogo inicial por decidir.</t>
        </is>
      </c>
      <c r="P61" s="6" t="n"/>
      <c r="Q61" s="5" t="inlineStr"/>
    </row>
    <row r="62" ht="48" customHeight="1">
      <c r="A62" s="4" t="inlineStr">
        <is>
          <t>E-02</t>
        </is>
      </c>
      <c r="B62" s="5" t="inlineStr">
        <is>
          <t>Escalas</t>
        </is>
      </c>
      <c r="C62" s="5" t="inlineStr">
        <is>
          <t>El generador de escalas opera solo en afinación estándar en la primera entrega.</t>
        </is>
      </c>
      <c r="D62" s="5" t="inlineStr">
        <is>
          <t>Alta</t>
        </is>
      </c>
      <c r="E62" s="5" t="inlineStr">
        <is>
          <t>Cliente · listado 14/09</t>
        </is>
      </c>
      <c r="F62" s="5" t="inlineStr">
        <is>
          <t>F5</t>
        </is>
      </c>
      <c r="G62" s="5" t="inlineStr">
        <is>
          <t>F5.2</t>
        </is>
      </c>
      <c r="H62" s="5" t="inlineStr">
        <is>
          <t>T</t>
        </is>
      </c>
      <c r="I62" s="5" t="inlineStr">
        <is>
          <t>Para cada tónica y tipo, las posiciones generadas coinciden con una referencia externa en afinación estándar.</t>
        </is>
      </c>
      <c r="J62" s="5" t="inlineStr">
        <is>
          <t>No cumple</t>
        </is>
      </c>
      <c r="K62" s="5" t="inlineStr">
        <is>
          <t>—</t>
        </is>
      </c>
      <c r="L62" s="5" t="inlineStr">
        <is>
          <t>—</t>
        </is>
      </c>
      <c r="M62" s="5" t="inlineStr">
        <is>
          <t>Pendiente</t>
        </is>
      </c>
      <c r="N62" s="5" t="inlineStr">
        <is>
          <t>Banco automático + auditor técnico</t>
        </is>
      </c>
      <c r="O62" s="5" t="inlineStr">
        <is>
          <t>Alcance acotado. Las demás afinaciones pasan a E-02b.</t>
        </is>
      </c>
      <c r="P62" s="6" t="n"/>
      <c r="Q62" s="5" t="inlineStr"/>
    </row>
    <row r="63" ht="48" customHeight="1">
      <c r="A63" s="4" t="inlineStr">
        <is>
          <t>E-02b</t>
        </is>
      </c>
      <c r="B63" s="5" t="inlineStr">
        <is>
          <t>Escalas</t>
        </is>
      </c>
      <c r="C63" s="5" t="inlineStr">
        <is>
          <t>Escalas en afinaciones alternativas y variantes de digitación (por ejemplo, escala en octavas).</t>
        </is>
      </c>
      <c r="D63" s="5" t="inlineStr">
        <is>
          <t>Media</t>
        </is>
      </c>
      <c r="E63" s="5" t="inlineStr">
        <is>
          <t>AR-01</t>
        </is>
      </c>
      <c r="F63" s="5" t="inlineStr">
        <is>
          <t>Posterior</t>
        </is>
      </c>
      <c r="G63" s="5" t="inlineStr">
        <is>
          <t>Posterior</t>
        </is>
      </c>
      <c r="H63" s="5" t="inlineStr">
        <is>
          <t>N/A</t>
        </is>
      </c>
      <c r="I63" s="5" t="inlineStr">
        <is>
          <t>Fuera del alcance actual.</t>
        </is>
      </c>
      <c r="J63" s="5" t="inlineStr">
        <is>
          <t>No aplica</t>
        </is>
      </c>
      <c r="K63" s="5" t="inlineStr">
        <is>
          <t>—</t>
        </is>
      </c>
      <c r="L63" s="5" t="inlineStr">
        <is>
          <t>—</t>
        </is>
      </c>
      <c r="M63" s="5" t="inlineStr">
        <is>
          <t>No aplica</t>
        </is>
      </c>
      <c r="N63" s="5" t="inlineStr">
        <is>
          <t>—</t>
        </is>
      </c>
      <c r="O63" s="5" t="inlineStr">
        <is>
          <t>Fuera del alcance de F5.</t>
        </is>
      </c>
      <c r="P63" s="6" t="n"/>
      <c r="Q63" s="5" t="inlineStr"/>
    </row>
    <row r="64" ht="33" customHeight="1">
      <c r="A64" s="4" t="inlineStr">
        <is>
          <t>E-03</t>
        </is>
      </c>
      <c r="B64" s="5" t="inlineStr">
        <is>
          <t>Escalas</t>
        </is>
      </c>
      <c r="C64" s="5" t="inlineStr">
        <is>
          <t>Submodo Mostrar: la app ilumina las notas que componen la escala.</t>
        </is>
      </c>
      <c r="D64" s="5" t="inlineStr">
        <is>
          <t>Alta</t>
        </is>
      </c>
      <c r="E64" s="5" t="inlineStr">
        <is>
          <t>Cliente · listado 14/09</t>
        </is>
      </c>
      <c r="F64" s="5" t="inlineStr">
        <is>
          <t>F5</t>
        </is>
      </c>
      <c r="G64" s="5" t="inlineStr">
        <is>
          <t>F5.3</t>
        </is>
      </c>
      <c r="H64" s="5" t="inlineStr">
        <is>
          <t>D</t>
        </is>
      </c>
      <c r="I64" s="5" t="inlineStr">
        <is>
          <t>Mostrar ilumina únicamente las notas de la escala.</t>
        </is>
      </c>
      <c r="J64" s="5" t="inlineStr">
        <is>
          <t>No cumple</t>
        </is>
      </c>
      <c r="K64" s="5" t="inlineStr">
        <is>
          <t>—</t>
        </is>
      </c>
      <c r="L64" s="5" t="inlineStr">
        <is>
          <t>—</t>
        </is>
      </c>
      <c r="M64" s="5" t="inlineStr">
        <is>
          <t>Pendiente</t>
        </is>
      </c>
      <c r="N64" s="5" t="inlineStr">
        <is>
          <t>Cliente</t>
        </is>
      </c>
      <c r="O64" s="5" t="inlineStr"/>
      <c r="P64" s="6" t="n"/>
      <c r="Q64" s="5" t="inlineStr"/>
    </row>
    <row r="65" ht="48" customHeight="1">
      <c r="A65" s="4" t="inlineStr">
        <is>
          <t>E-04</t>
        </is>
      </c>
      <c r="B65" s="5" t="inlineStr">
        <is>
          <t>Escalas</t>
        </is>
      </c>
      <c r="C65" s="5" t="inlineStr">
        <is>
          <t>En Mostrar se indica el nombre de cada nota y su separación interválica respecto a la anterior.</t>
        </is>
      </c>
      <c r="D65" s="5" t="inlineStr">
        <is>
          <t>Alta</t>
        </is>
      </c>
      <c r="E65" s="5" t="inlineStr">
        <is>
          <t>Cliente · listado 14/09</t>
        </is>
      </c>
      <c r="F65" s="5" t="inlineStr">
        <is>
          <t>F5</t>
        </is>
      </c>
      <c r="G65" s="5" t="inlineStr">
        <is>
          <t>F5.3</t>
        </is>
      </c>
      <c r="H65" s="5" t="inlineStr">
        <is>
          <t>D</t>
        </is>
      </c>
      <c r="I65" s="5" t="inlineStr">
        <is>
          <t>Cada nota iluminada muestra su nombre y el intervalo T o ST respecto al grado anterior.</t>
        </is>
      </c>
      <c r="J65" s="5" t="inlineStr">
        <is>
          <t>No cumple</t>
        </is>
      </c>
      <c r="K65" s="5" t="inlineStr">
        <is>
          <t>—</t>
        </is>
      </c>
      <c r="L65" s="5" t="inlineStr">
        <is>
          <t>—</t>
        </is>
      </c>
      <c r="M65" s="5" t="inlineStr">
        <is>
          <t>Pendiente</t>
        </is>
      </c>
      <c r="N65" s="5" t="inlineStr">
        <is>
          <t>Cliente</t>
        </is>
      </c>
      <c r="O65" s="5" t="inlineStr">
        <is>
          <t>Etiquetas tipo T — T — ST — T — T — T — ST.</t>
        </is>
      </c>
      <c r="P65" s="6" t="n"/>
      <c r="Q65" s="5" t="inlineStr"/>
    </row>
    <row r="66" ht="48" customHeight="1">
      <c r="A66" s="4" t="inlineStr">
        <is>
          <t>E-05</t>
        </is>
      </c>
      <c r="B66" s="5" t="inlineStr">
        <is>
          <t>Escalas</t>
        </is>
      </c>
      <c r="C66" s="5" t="inlineStr">
        <is>
          <t>Submodo Práctica: valida solo la pertenencia de la nota a la escala; al pulsar una ajena, marca error e ilumina las correctas.</t>
        </is>
      </c>
      <c r="D66" s="5" t="inlineStr">
        <is>
          <t>Alta</t>
        </is>
      </c>
      <c r="E66" s="5" t="inlineStr">
        <is>
          <t>Cliente · listado 14/09</t>
        </is>
      </c>
      <c r="F66" s="5" t="inlineStr">
        <is>
          <t>F5</t>
        </is>
      </c>
      <c r="G66" s="5" t="inlineStr">
        <is>
          <t>F5.4</t>
        </is>
      </c>
      <c r="H66" s="5" t="inlineStr">
        <is>
          <t>T</t>
        </is>
      </c>
      <c r="I66" s="5" t="inlineStr">
        <is>
          <t>En Práctica, una nota ajena marca error e ilumina las correctas; una nota de la escala no marca error.</t>
        </is>
      </c>
      <c r="J66" s="5" t="inlineStr">
        <is>
          <t>No cumple</t>
        </is>
      </c>
      <c r="K66" s="5" t="inlineStr">
        <is>
          <t>—</t>
        </is>
      </c>
      <c r="L66" s="5" t="inlineStr">
        <is>
          <t>—</t>
        </is>
      </c>
      <c r="M66" s="5" t="inlineStr">
        <is>
          <t>Pendiente</t>
        </is>
      </c>
      <c r="N66" s="5" t="inlineStr">
        <is>
          <t>Banco automático + auditor técnico</t>
        </is>
      </c>
      <c r="O66" s="5" t="inlineStr">
        <is>
          <t>Alcance acotado: no valida orden ni digitación.</t>
        </is>
      </c>
      <c r="P66" s="6" t="n"/>
      <c r="Q66" s="5" t="inlineStr"/>
    </row>
    <row r="67" ht="33" customHeight="1">
      <c r="A67" s="4" t="inlineStr">
        <is>
          <t>E-05b</t>
        </is>
      </c>
      <c r="B67" s="5" t="inlineStr">
        <is>
          <t>Escalas</t>
        </is>
      </c>
      <c r="C67" s="5" t="inlineStr">
        <is>
          <t>Validación del orden de la escala y de patrones de digitación concretos.</t>
        </is>
      </c>
      <c r="D67" s="5" t="inlineStr">
        <is>
          <t>Media</t>
        </is>
      </c>
      <c r="E67" s="5" t="inlineStr">
        <is>
          <t>AR-01</t>
        </is>
      </c>
      <c r="F67" s="5" t="inlineStr">
        <is>
          <t>Posterior</t>
        </is>
      </c>
      <c r="G67" s="5" t="inlineStr">
        <is>
          <t>Posterior</t>
        </is>
      </c>
      <c r="H67" s="5" t="inlineStr">
        <is>
          <t>N/A</t>
        </is>
      </c>
      <c r="I67" s="5" t="inlineStr">
        <is>
          <t>Fuera del alcance actual.</t>
        </is>
      </c>
      <c r="J67" s="5" t="inlineStr">
        <is>
          <t>No aplica</t>
        </is>
      </c>
      <c r="K67" s="5" t="inlineStr">
        <is>
          <t>—</t>
        </is>
      </c>
      <c r="L67" s="5" t="inlineStr">
        <is>
          <t>—</t>
        </is>
      </c>
      <c r="M67" s="5" t="inlineStr">
        <is>
          <t>No aplica</t>
        </is>
      </c>
      <c r="N67" s="5" t="inlineStr">
        <is>
          <t>—</t>
        </is>
      </c>
      <c r="O67" s="5" t="inlineStr">
        <is>
          <t>Fuera del alcance de F5.</t>
        </is>
      </c>
      <c r="P67" s="6" t="n"/>
      <c r="Q67" s="5" t="inlineStr"/>
    </row>
    <row r="68" ht="33" customHeight="1">
      <c r="A68" s="4" t="inlineStr">
        <is>
          <t>E-06</t>
        </is>
      </c>
      <c r="B68" s="5" t="inlineStr">
        <is>
          <t>Escalas</t>
        </is>
      </c>
      <c r="C68" s="5" t="inlineStr">
        <is>
          <t>Guiado nota a nota en el submodo Mostrar.</t>
        </is>
      </c>
      <c r="D68" s="5" t="inlineStr">
        <is>
          <t>Media</t>
        </is>
      </c>
      <c r="E68" s="5" t="inlineStr">
        <is>
          <t>Cliente · listado 14/09</t>
        </is>
      </c>
      <c r="F68" s="5" t="inlineStr">
        <is>
          <t>F5</t>
        </is>
      </c>
      <c r="G68" s="5" t="inlineStr">
        <is>
          <t>F5.3</t>
        </is>
      </c>
      <c r="H68" s="5" t="inlineStr">
        <is>
          <t>D</t>
        </is>
      </c>
      <c r="I68" s="5" t="inlineStr">
        <is>
          <t>El guiado avanza nota a nota por la escala.</t>
        </is>
      </c>
      <c r="J68" s="5" t="inlineStr">
        <is>
          <t>No cumple</t>
        </is>
      </c>
      <c r="K68" s="5" t="inlineStr">
        <is>
          <t>—</t>
        </is>
      </c>
      <c r="L68" s="5" t="inlineStr">
        <is>
          <t>—</t>
        </is>
      </c>
      <c r="M68" s="5" t="inlineStr">
        <is>
          <t>Pendiente</t>
        </is>
      </c>
      <c r="N68" s="5" t="inlineStr">
        <is>
          <t>Cliente</t>
        </is>
      </c>
      <c r="O68" s="5" t="inlineStr"/>
      <c r="P68" s="6" t="n"/>
      <c r="Q68" s="5" t="inlineStr"/>
    </row>
    <row r="69" ht="33" customHeight="1">
      <c r="A69" s="4" t="inlineStr">
        <is>
          <t>A-01</t>
        </is>
      </c>
      <c r="B69" s="5" t="inlineStr">
        <is>
          <t>Afinador</t>
        </is>
      </c>
      <c r="C69" s="5" t="inlineStr">
        <is>
          <t>Afinador por referencia: la app reproduce la nota de cada cuerda para afinar de oído.</t>
        </is>
      </c>
      <c r="D69" s="5" t="inlineStr">
        <is>
          <t>Alta</t>
        </is>
      </c>
      <c r="E69" s="5" t="inlineStr">
        <is>
          <t>Cliente · listado 14/09</t>
        </is>
      </c>
      <c r="F69" s="5" t="inlineStr">
        <is>
          <t>F1</t>
        </is>
      </c>
      <c r="G69" s="5" t="inlineStr">
        <is>
          <t>F1.1</t>
        </is>
      </c>
      <c r="H69" s="5" t="inlineStr">
        <is>
          <t>D</t>
        </is>
      </c>
      <c r="I69" s="5" t="inlineStr">
        <is>
          <t>Pulsar cada cuerda en el afinador reproduce su nota de referencia.</t>
        </is>
      </c>
      <c r="J69" s="5" t="inlineStr">
        <is>
          <t>Cumple</t>
        </is>
      </c>
      <c r="K69" s="5" t="inlineStr">
        <is>
          <t>0.1.0</t>
        </is>
      </c>
      <c r="L69" s="5" t="inlineStr">
        <is>
          <t>F1.1 #14</t>
        </is>
      </c>
      <c r="M69" s="5" t="inlineStr">
        <is>
          <t>Pendiente</t>
        </is>
      </c>
      <c r="N69" s="5" t="inlineStr">
        <is>
          <t>Cliente</t>
        </is>
      </c>
      <c r="O69" s="5" t="inlineStr">
        <is>
          <t>El MVP real del afinador.</t>
        </is>
      </c>
      <c r="P69" s="6" t="n"/>
      <c r="Q69" s="5" t="inlineStr"/>
    </row>
    <row r="70" ht="120" customHeight="1">
      <c r="A70" s="4" t="inlineStr">
        <is>
          <t>A-02</t>
        </is>
      </c>
      <c r="B70" s="5" t="inlineStr">
        <is>
          <t>Afinador</t>
        </is>
      </c>
      <c r="C70" s="5" t="inlineStr">
        <is>
          <t>Afinador por micrófono: capta la cuerda e indica si subir o bajar.</t>
        </is>
      </c>
      <c r="D70" s="5" t="inlineStr">
        <is>
          <t>Alta</t>
        </is>
      </c>
      <c r="E70" s="5" t="inlineStr">
        <is>
          <t>Cliente · listado 14/09</t>
        </is>
      </c>
      <c r="F70" s="5" t="inlineStr">
        <is>
          <t>F4</t>
        </is>
      </c>
      <c r="G70" s="5" t="inlineStr">
        <is>
          <t>F4.3</t>
        </is>
      </c>
      <c r="H70" s="5" t="inlineStr">
        <is>
          <t>D</t>
        </is>
      </c>
      <c r="I70" s="5" t="inlineStr">
        <is>
          <t>Con una guitarra real, el afinador indica subir o bajar hasta dejarla afinada, en estándar y en una alternativa.</t>
        </is>
      </c>
      <c r="J70" s="5" t="inlineStr">
        <is>
          <t>Cumple</t>
        </is>
      </c>
      <c r="K70" s="5" t="inlineStr">
        <is>
          <t>0.4.0</t>
        </is>
      </c>
      <c r="L70" s="5" t="inlineStr">
        <is>
          <t>comprobar-afinador.js (Chromium, grabación real 12 cents baja → «La2 · −11 cents · Sube un poco»; hilo aparte; se apaga al salir) · Banco (node --test): flujo del permiso</t>
        </is>
      </c>
      <c r="M70" s="5" t="inlineStr">
        <is>
          <t>Pendiente</t>
        </is>
      </c>
      <c r="N70" s="5" t="inlineStr">
        <is>
          <t>Cliente</t>
        </is>
      </c>
      <c r="O70"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0" s="6" t="n"/>
      <c r="Q70" s="5" t="inlineStr"/>
    </row>
    <row r="71" ht="120" customHeight="1">
      <c r="A71" s="4" t="inlineStr">
        <is>
          <t>A-02-CA</t>
        </is>
      </c>
      <c r="B71" s="5" t="inlineStr">
        <is>
          <t>Afinador</t>
        </is>
      </c>
      <c r="C71" s="5" t="inlineStr">
        <is>
          <t>Criterios de aceptación de A-02: precisión de detección ±2 cents en silencio razonable, latencia menor de 300 ms; el ruido de fondo queda fuera de la primera entrega.</t>
        </is>
      </c>
      <c r="D71" s="5" t="inlineStr">
        <is>
          <t>Alta</t>
        </is>
      </c>
      <c r="E71" s="5" t="inlineStr">
        <is>
          <t>AR-01</t>
        </is>
      </c>
      <c r="F71" s="5" t="inlineStr">
        <is>
          <t>F4</t>
        </is>
      </c>
      <c r="G71" s="5" t="inlineStr">
        <is>
          <t>F4.2</t>
        </is>
      </c>
      <c r="H71" s="5" t="inlineStr">
        <is>
          <t>T</t>
        </is>
      </c>
      <c r="I71" s="5" t="inlineStr">
        <is>
          <t>Banco de pruebas: error ≤ ±2 cents y latencia &lt; 300 ms sobre muestras desafinadas una cantidad conocida, tomando como referencia su frecuencia medida en samples/afinacion.json.</t>
        </is>
      </c>
      <c r="J71" s="5" t="inlineStr">
        <is>
          <t>Cumple</t>
        </is>
      </c>
      <c r="K71" s="5" t="inlineStr">
        <is>
          <t>0.4.0</t>
        </is>
      </c>
      <c r="L71" s="5" t="inlineStr">
        <is>
          <t>tests/tono.test.js: 12 grabaciones reales de −45 a +40 cents; peor error 1,86 cents frente a su medida y 1,01 trozo a trozo; aguja en su nota en ≤ 168 ms + 3 ms de cálculo</t>
        </is>
      </c>
      <c r="M71" s="5" t="inlineStr">
        <is>
          <t>Verificado</t>
        </is>
      </c>
      <c r="N71" s="5" t="inlineStr">
        <is>
          <t>Banco automático + auditor técnico</t>
        </is>
      </c>
      <c r="O71"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1" s="6" t="n"/>
      <c r="Q71" s="5" t="inlineStr"/>
    </row>
    <row r="72" ht="78" customHeight="1">
      <c r="A72" s="4" t="inlineStr">
        <is>
          <t>A-03</t>
        </is>
      </c>
      <c r="B72" s="5" t="inlineStr">
        <is>
          <t>Afinador</t>
        </is>
      </c>
      <c r="C72" s="5" t="inlineStr">
        <is>
          <t>Indicador de desviación en cents, con umbral de afinado en ±5 cents.</t>
        </is>
      </c>
      <c r="D72" s="5" t="inlineStr">
        <is>
          <t>Alta</t>
        </is>
      </c>
      <c r="E72" s="5" t="inlineStr">
        <is>
          <t>Cliente · listado 14/09</t>
        </is>
      </c>
      <c r="F72" s="5" t="inlineStr">
        <is>
          <t>F4</t>
        </is>
      </c>
      <c r="G72" s="5" t="inlineStr">
        <is>
          <t>F4.3</t>
        </is>
      </c>
      <c r="H72" s="5" t="inlineStr">
        <is>
          <t>D</t>
        </is>
      </c>
      <c r="I72" s="5" t="inlineStr">
        <is>
          <t>La aguja indica la desviación en cents y marca «afinado» dentro de ±5 cents.</t>
        </is>
      </c>
      <c r="J72" s="5" t="inlineStr">
        <is>
          <t>Cumple</t>
        </is>
      </c>
      <c r="K72" s="5" t="inlineStr">
        <is>
          <t>0.4.0</t>
        </is>
      </c>
      <c r="L72" s="5" t="inlineStr">
        <is>
          <t>Banco (node --test): «Sube un poco» a −12, «Afinada» a +3 · comprobar-afinador.js</t>
        </is>
      </c>
      <c r="M72" s="5" t="inlineStr">
        <is>
          <t>Pendiente</t>
        </is>
      </c>
      <c r="N72" s="5" t="inlineStr">
        <is>
          <t>Cliente</t>
        </is>
      </c>
      <c r="O72" s="5" t="inlineStr">
        <is>
          <t>Hecho en la 0.4.0: aguja de −50 a +50 cents con la franja verde de ±5, los cents en número y la orden «▲ Sube (un poco)», «▼ Baja (un poco)» o «✓ Afinada». Falta tu comprobación con la guitarra.</t>
        </is>
      </c>
      <c r="P72" s="6" t="n"/>
      <c r="Q72" s="5" t="inlineStr"/>
    </row>
    <row r="73" ht="108" customHeight="1">
      <c r="A73" s="4" t="inlineStr">
        <is>
          <t>A-04</t>
        </is>
      </c>
      <c r="B73" s="5" t="inlineStr">
        <is>
          <t>Afinador</t>
        </is>
      </c>
      <c r="C73" s="5" t="inlineStr">
        <is>
          <t>Detección automática de cuerda por proximidad a la nota detectada.</t>
        </is>
      </c>
      <c r="D73" s="5" t="inlineStr">
        <is>
          <t>Alta</t>
        </is>
      </c>
      <c r="E73" s="5" t="inlineStr">
        <is>
          <t>Cliente · listado 14/09</t>
        </is>
      </c>
      <c r="F73" s="5" t="inlineStr">
        <is>
          <t>F4</t>
        </is>
      </c>
      <c r="G73" s="5" t="inlineStr">
        <is>
          <t>F4.3</t>
        </is>
      </c>
      <c r="H73" s="5" t="inlineStr">
        <is>
          <t>T</t>
        </is>
      </c>
      <c r="I73" s="5" t="inlineStr">
        <is>
          <t>Con la cuerda a menos de un semitono de su nota, el afinador identifica la cuerda correcta.</t>
        </is>
      </c>
      <c r="J73" s="5" t="inlineStr">
        <is>
          <t>Cumple</t>
        </is>
      </c>
      <c r="K73" s="5" t="inlineStr">
        <is>
          <t>0.4.0</t>
        </is>
      </c>
      <c r="L73" s="5" t="inlineStr">
        <is>
          <t>Banco (node --test): las 6 cuerdas a −90 y +90 cents, y la 6ª en Drop D</t>
        </is>
      </c>
      <c r="M73" s="5" t="inlineStr">
        <is>
          <t>Verificado</t>
        </is>
      </c>
      <c r="N73" s="5" t="inlineStr">
        <is>
          <t>Banco automático + auditor técnico</t>
        </is>
      </c>
      <c r="O73"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3" s="6" t="n"/>
      <c r="Q73" s="5" t="inlineStr"/>
    </row>
    <row r="74" ht="93" customHeight="1">
      <c r="A74" s="4" t="inlineStr">
        <is>
          <t>A-05</t>
        </is>
      </c>
      <c r="B74" s="5" t="inlineStr">
        <is>
          <t>Afinador</t>
        </is>
      </c>
      <c r="C74" s="5" t="inlineStr">
        <is>
          <t>Selección manual de cuerda, que prevalece sobre A-04.</t>
        </is>
      </c>
      <c r="D74" s="5" t="inlineStr">
        <is>
          <t>Alta</t>
        </is>
      </c>
      <c r="E74" s="5" t="inlineStr">
        <is>
          <t>Cliente · listado 14/09</t>
        </is>
      </c>
      <c r="F74" s="5" t="inlineStr">
        <is>
          <t>F4</t>
        </is>
      </c>
      <c r="G74" s="5" t="inlineStr">
        <is>
          <t>F4.3</t>
        </is>
      </c>
      <c r="H74" s="5" t="inlineStr">
        <is>
          <t>D</t>
        </is>
      </c>
      <c r="I74" s="5" t="inlineStr">
        <is>
          <t>Con una cuerda fijada a mano, el afinador la usa como referencia aunque esté muy desafinada.</t>
        </is>
      </c>
      <c r="J74" s="5" t="inlineStr">
        <is>
          <t>Cumple</t>
        </is>
      </c>
      <c r="K74" s="5" t="inlineStr">
        <is>
          <t>0.4.0</t>
        </is>
      </c>
      <c r="L74" s="5" t="inlineStr">
        <is>
          <t>Banco (node --test): 6ª elegida con un La2 sonando → +500 cents, y sin confundir la octava</t>
        </is>
      </c>
      <c r="M74" s="5" t="inlineStr">
        <is>
          <t>Pendiente</t>
        </is>
      </c>
      <c r="N74" s="5" t="inlineStr">
        <is>
          <t>Cliente</t>
        </is>
      </c>
      <c r="O74" s="5" t="inlineStr">
        <is>
          <t>Resuelve la limitación anterior. Hecho en la 0.4.0: botones Auto · 6 … 1. Con una cuerda elegida, el afinador la usa aunque suene otra nota, y un salto de octava del detector no se confunde con «baja 12 semitonos». Falta tu comprobación con la guitarra.</t>
        </is>
      </c>
      <c r="P74" s="6" t="n"/>
      <c r="Q74" s="5" t="inlineStr"/>
    </row>
    <row r="75" ht="33" customHeight="1">
      <c r="A75" s="4" t="inlineStr">
        <is>
          <t>A-06</t>
        </is>
      </c>
      <c r="B75" s="5" t="inlineStr">
        <is>
          <t>Afinador</t>
        </is>
      </c>
      <c r="C75" s="5" t="inlineStr">
        <is>
          <t>Afinación estándar (E A D G B E).</t>
        </is>
      </c>
      <c r="D75" s="5" t="inlineStr">
        <is>
          <t>Alta</t>
        </is>
      </c>
      <c r="E75" s="5" t="inlineStr">
        <is>
          <t>Cliente · listado 14/09</t>
        </is>
      </c>
      <c r="F75" s="5" t="inlineStr">
        <is>
          <t>F1</t>
        </is>
      </c>
      <c r="G75" s="5" t="inlineStr">
        <is>
          <t>F1.1</t>
        </is>
      </c>
      <c r="H75" s="5" t="inlineStr">
        <is>
          <t>I</t>
        </is>
      </c>
      <c r="I75" s="5" t="inlineStr">
        <is>
          <t>La afinación estándar es E2 A2 D3 G3 B3 E4.</t>
        </is>
      </c>
      <c r="J75" s="5" t="inlineStr">
        <is>
          <t>Cumple</t>
        </is>
      </c>
      <c r="K75" s="5" t="inlineStr">
        <is>
          <t>0.1.0</t>
        </is>
      </c>
      <c r="L75" s="5" t="inlineStr">
        <is>
          <t>F1.1 #14</t>
        </is>
      </c>
      <c r="M75" s="5" t="inlineStr">
        <is>
          <t>Pendiente</t>
        </is>
      </c>
      <c r="N75" s="5" t="inlineStr">
        <is>
          <t>Auditor de requisitos</t>
        </is>
      </c>
      <c r="O75" s="5" t="inlineStr"/>
      <c r="P75" s="6" t="n"/>
      <c r="Q75" s="5" t="inlineStr"/>
    </row>
    <row r="76" ht="48" customHeight="1">
      <c r="A76" s="4" t="inlineStr">
        <is>
          <t>A-07</t>
        </is>
      </c>
      <c r="B76" s="5" t="inlineStr">
        <is>
          <t>Afinador</t>
        </is>
      </c>
      <c r="C76" s="5" t="inlineStr">
        <is>
          <t>Cinco afinaciones alternativas predefinidas: Drop D, medio tono abajo, Open G, Open D y DADGAD.</t>
        </is>
      </c>
      <c r="D76" s="5" t="inlineStr">
        <is>
          <t>Alta</t>
        </is>
      </c>
      <c r="E76" s="5" t="inlineStr">
        <is>
          <t>Cliente · listado 14/09</t>
        </is>
      </c>
      <c r="F76" s="5" t="inlineStr">
        <is>
          <t>F1</t>
        </is>
      </c>
      <c r="G76" s="5" t="inlineStr">
        <is>
          <t>F1.1</t>
        </is>
      </c>
      <c r="H76" s="5" t="inlineStr">
        <is>
          <t>I</t>
        </is>
      </c>
      <c r="I76" s="5" t="inlineStr">
        <is>
          <t>Existen Drop D, medio tono abajo, Open G, Open D y DADGAD con sus notas correctas.</t>
        </is>
      </c>
      <c r="J76" s="5" t="inlineStr">
        <is>
          <t>Cumple</t>
        </is>
      </c>
      <c r="K76" s="5" t="inlineStr">
        <is>
          <t>0.1.0</t>
        </is>
      </c>
      <c r="L76" s="5" t="inlineStr">
        <is>
          <t>F1.1 #14</t>
        </is>
      </c>
      <c r="M76" s="5" t="inlineStr">
        <is>
          <t>Pendiente</t>
        </is>
      </c>
      <c r="N76" s="5" t="inlineStr">
        <is>
          <t>Auditor de requisitos</t>
        </is>
      </c>
      <c r="O76" s="5" t="inlineStr"/>
      <c r="P76" s="6" t="n"/>
      <c r="Q76" s="5" t="inlineStr"/>
    </row>
    <row r="77" ht="63" customHeight="1">
      <c r="A77" s="4" t="inlineStr">
        <is>
          <t>A-08</t>
        </is>
      </c>
      <c r="B77" s="5" t="inlineStr">
        <is>
          <t>Afinador</t>
        </is>
      </c>
      <c r="C77" s="5" t="inlineStr">
        <is>
          <t>Afinación personalizada ajustando cada cuerda por semitonos.</t>
        </is>
      </c>
      <c r="D77" s="5" t="inlineStr">
        <is>
          <t>Alta</t>
        </is>
      </c>
      <c r="E77" s="5" t="inlineStr">
        <is>
          <t>Cliente · listado 14/09</t>
        </is>
      </c>
      <c r="F77" s="5" t="inlineStr">
        <is>
          <t>F1</t>
        </is>
      </c>
      <c r="G77" s="5" t="inlineStr">
        <is>
          <t>F1.1</t>
        </is>
      </c>
      <c r="H77" s="5" t="inlineStr">
        <is>
          <t>D</t>
        </is>
      </c>
      <c r="I77" s="5" t="inlineStr">
        <is>
          <t>Los botones +/− mueven la cuerda un semitono y pasan a Personalizada sin alterar los presets.</t>
        </is>
      </c>
      <c r="J77" s="5" t="inlineStr">
        <is>
          <t>Cumple</t>
        </is>
      </c>
      <c r="K77" s="5" t="inlineStr">
        <is>
          <t>0.1.0</t>
        </is>
      </c>
      <c r="L77" s="5" t="inlineStr">
        <is>
          <t>F1.1 #4 · Sesión 1: A13</t>
        </is>
      </c>
      <c r="M77" s="5" t="inlineStr">
        <is>
          <t>Verificado</t>
        </is>
      </c>
      <c r="N77" s="5" t="inlineStr">
        <is>
          <t>Cliente</t>
        </is>
      </c>
      <c r="O77" s="5" t="inlineStr">
        <is>
          <t>Cualquier ajuste convierte la afinación en personalizada sin alterar los presets. Validado en la Sesión 1 (20/10, informe V-08): A13.</t>
        </is>
      </c>
      <c r="P77" s="6" t="n"/>
      <c r="Q77" s="5" t="inlineStr"/>
    </row>
    <row r="78" ht="33" customHeight="1">
      <c r="A78" s="4" t="inlineStr">
        <is>
          <t>A-09</t>
        </is>
      </c>
      <c r="B78" s="5" t="inlineStr">
        <is>
          <t>Afinador</t>
        </is>
      </c>
      <c r="C78" s="5" t="inlineStr">
        <is>
          <t>Al seleccionar una afinación se muestran sus notas en un pentagrama.</t>
        </is>
      </c>
      <c r="D78" s="5" t="inlineStr">
        <is>
          <t>Media</t>
        </is>
      </c>
      <c r="E78" s="5" t="inlineStr">
        <is>
          <t>Cliente · listado 14/09</t>
        </is>
      </c>
      <c r="F78" s="5" t="inlineStr">
        <is>
          <t>F1</t>
        </is>
      </c>
      <c r="G78" s="5" t="inlineStr">
        <is>
          <t>F1.1</t>
        </is>
      </c>
      <c r="H78" s="5" t="inlineStr">
        <is>
          <t>D</t>
        </is>
      </c>
      <c r="I78" s="5" t="inlineStr">
        <is>
          <t>El pentagrama del afinador refleja la afinación seleccionada.</t>
        </is>
      </c>
      <c r="J78" s="5" t="inlineStr">
        <is>
          <t>Cumple</t>
        </is>
      </c>
      <c r="K78" s="5" t="inlineStr">
        <is>
          <t>0.1.0</t>
        </is>
      </c>
      <c r="L78" s="5" t="inlineStr">
        <is>
          <t>F1.1 #14</t>
        </is>
      </c>
      <c r="M78" s="5" t="inlineStr">
        <is>
          <t>Pendiente</t>
        </is>
      </c>
      <c r="N78" s="5" t="inlineStr">
        <is>
          <t>Cliente</t>
        </is>
      </c>
      <c r="O78" s="5" t="inlineStr">
        <is>
          <t>Ver P-04.</t>
        </is>
      </c>
      <c r="P78" s="6" t="n"/>
      <c r="Q78" s="5" t="inlineStr"/>
    </row>
    <row r="79" ht="48" customHeight="1">
      <c r="A79" s="4" t="inlineStr">
        <is>
          <t>A-10</t>
        </is>
      </c>
      <c r="B79" s="5" t="inlineStr">
        <is>
          <t>Afinador</t>
        </is>
      </c>
      <c r="C79" s="5" t="inlineStr">
        <is>
          <t>La afinación activa se aplica también a los modos de aprendizaje.</t>
        </is>
      </c>
      <c r="D79" s="5" t="inlineStr">
        <is>
          <t>Alta</t>
        </is>
      </c>
      <c r="E79" s="5" t="inlineStr">
        <is>
          <t>Cliente · listado 14/09</t>
        </is>
      </c>
      <c r="F79" s="5" t="inlineStr">
        <is>
          <t>F1</t>
        </is>
      </c>
      <c r="G79" s="5" t="inlineStr">
        <is>
          <t>F1.1</t>
        </is>
      </c>
      <c r="H79" s="5" t="inlineStr">
        <is>
          <t>T</t>
        </is>
      </c>
      <c r="I79" s="5" t="inlineStr">
        <is>
          <t>Al cambiar de afinación, el mástil y los retos se rehacen con las nuevas notas.</t>
        </is>
      </c>
      <c r="J79" s="5" t="inlineStr">
        <is>
          <t>Cumple</t>
        </is>
      </c>
      <c r="K79" s="5" t="inlineStr">
        <is>
          <t>0.1.0</t>
        </is>
      </c>
      <c r="L79" s="5" t="inlineStr">
        <is>
          <t>Banco (node --test): Drop D</t>
        </is>
      </c>
      <c r="M79" s="5" t="inlineStr">
        <is>
          <t>Verificado parcialmente</t>
        </is>
      </c>
      <c r="N79" s="5" t="inlineStr">
        <is>
          <t>Banco automático + auditor técnico</t>
        </is>
      </c>
      <c r="O79" s="5" t="inlineStr">
        <is>
          <t>Ninguna nota está escrita a mano: todas derivan de la afinación activa, y la propagación ocurre en un único punto del código.</t>
        </is>
      </c>
      <c r="P79" s="6" t="n"/>
      <c r="Q79" s="5" t="inlineStr"/>
    </row>
    <row r="80" ht="33" customHeight="1">
      <c r="A80" s="4" t="inlineStr">
        <is>
          <t>A-11</t>
        </is>
      </c>
      <c r="B80" s="5" t="inlineStr">
        <is>
          <t>Afinador</t>
        </is>
      </c>
      <c r="C80" s="5" t="inlineStr">
        <is>
          <t>La afinación persiste entre sesiones.</t>
        </is>
      </c>
      <c r="D80" s="5" t="inlineStr">
        <is>
          <t>Media</t>
        </is>
      </c>
      <c r="E80" s="5" t="inlineStr">
        <is>
          <t>Cliente · listado 14/09</t>
        </is>
      </c>
      <c r="F80" s="5" t="inlineStr">
        <is>
          <t>F1</t>
        </is>
      </c>
      <c r="G80" s="5" t="inlineStr">
        <is>
          <t>F1.1</t>
        </is>
      </c>
      <c r="H80" s="5" t="inlineStr">
        <is>
          <t>D</t>
        </is>
      </c>
      <c r="I80" s="5" t="inlineStr">
        <is>
          <t>Tras recargar se mantiene la afinación, incluida la personalizada.</t>
        </is>
      </c>
      <c r="J80" s="5" t="inlineStr">
        <is>
          <t>Cumple</t>
        </is>
      </c>
      <c r="K80" s="5" t="inlineStr">
        <is>
          <t>0.1.0</t>
        </is>
      </c>
      <c r="L80" s="5" t="inlineStr">
        <is>
          <t>F1.1 #13</t>
        </is>
      </c>
      <c r="M80" s="5" t="inlineStr">
        <is>
          <t>Pendiente</t>
        </is>
      </c>
      <c r="N80" s="5" t="inlineStr">
        <is>
          <t>Cliente</t>
        </is>
      </c>
      <c r="O80" s="5" t="inlineStr"/>
      <c r="P80" s="6" t="n"/>
      <c r="Q80" s="5" t="inlineStr"/>
    </row>
    <row r="81" ht="120" customHeight="1">
      <c r="A81" s="4" t="inlineStr">
        <is>
          <t>V-01</t>
        </is>
      </c>
      <c r="B81" s="5" t="inlineStr">
        <is>
          <t>Visualización</t>
        </is>
      </c>
      <c r="C81" s="5" t="inlineStr">
        <is>
          <t>En móvil se sugiere la orientación horizontal con un aviso discreto; no se fuerza.</t>
        </is>
      </c>
      <c r="D81" s="5" t="inlineStr">
        <is>
          <t>Alta</t>
        </is>
      </c>
      <c r="E81" s="5" t="inlineStr">
        <is>
          <t>Cliente · 20/10 (interfaz.md v1.0)</t>
        </is>
      </c>
      <c r="F81" s="5" t="inlineStr">
        <is>
          <t>F3</t>
        </is>
      </c>
      <c r="G81" s="5" t="inlineStr">
        <is>
          <t>F3.2</t>
        </is>
      </c>
      <c r="H81" s="5" t="inlineStr">
        <is>
          <t>D</t>
        </is>
      </c>
      <c r="I81"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81" s="5" t="inlineStr">
        <is>
          <t>Cumple</t>
        </is>
      </c>
      <c r="K81" s="5" t="inlineStr">
        <is>
          <t>0.3.0</t>
        </is>
      </c>
      <c r="L81" s="5" t="inlineStr">
        <is>
          <t>V-06: comprobar-disposicion.js en 14 pantallas: 52,8 / 60,8 / 42,5 px · Banco (node --test): aviso para girar · Sesión 1: C02, C03 y D03</t>
        </is>
      </c>
      <c r="M81" s="5" t="inlineStr">
        <is>
          <t>Verificado</t>
        </is>
      </c>
      <c r="N81" s="5" t="inlineStr">
        <is>
          <t>Cliente</t>
        </is>
      </c>
      <c r="O81"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informe V-08): C02, C03 y D03.</t>
        </is>
      </c>
      <c r="P81" s="6" t="n"/>
      <c r="Q81" s="5" t="inlineStr"/>
    </row>
    <row r="82" ht="33" customHeight="1">
      <c r="A82" s="4" t="inlineStr">
        <is>
          <t>V-02</t>
        </is>
      </c>
      <c r="B82" s="5" t="inlineStr">
        <is>
          <t>Visualización</t>
        </is>
      </c>
      <c r="C82" s="5" t="inlineStr">
        <is>
          <t>El afinador funciona en vertical y en horizontal.</t>
        </is>
      </c>
      <c r="D82" s="5" t="inlineStr">
        <is>
          <t>Alta</t>
        </is>
      </c>
      <c r="E82" s="5" t="inlineStr">
        <is>
          <t>Cliente · listado 14/09</t>
        </is>
      </c>
      <c r="F82" s="5" t="inlineStr">
        <is>
          <t>F1</t>
        </is>
      </c>
      <c r="G82" s="5" t="inlineStr">
        <is>
          <t>F1.1</t>
        </is>
      </c>
      <c r="H82" s="5" t="inlineStr">
        <is>
          <t>D</t>
        </is>
      </c>
      <c r="I82" s="5" t="inlineStr">
        <is>
          <t>El afinador se usa con comodidad en vertical y en horizontal.</t>
        </is>
      </c>
      <c r="J82" s="5" t="inlineStr">
        <is>
          <t>Cumple</t>
        </is>
      </c>
      <c r="K82" s="5" t="inlineStr">
        <is>
          <t>0.1.0</t>
        </is>
      </c>
      <c r="L82" s="5" t="inlineStr">
        <is>
          <t>F1.1 #14</t>
        </is>
      </c>
      <c r="M82" s="5" t="inlineStr">
        <is>
          <t>Pendiente</t>
        </is>
      </c>
      <c r="N82" s="5" t="inlineStr">
        <is>
          <t>Cliente</t>
        </is>
      </c>
      <c r="O82" s="5" t="inlineStr"/>
      <c r="P82" s="6" t="n"/>
      <c r="Q82" s="5" t="inlineStr"/>
    </row>
    <row r="83" ht="33" customHeight="1">
      <c r="A83" s="4" t="inlineStr">
        <is>
          <t>V-03</t>
        </is>
      </c>
      <c r="B83" s="5" t="inlineStr">
        <is>
          <t>Visualización</t>
        </is>
      </c>
      <c r="C83" s="5" t="inlineStr">
        <is>
          <t>En escritorio el mástil aprovecha el ancho disponible.</t>
        </is>
      </c>
      <c r="D83" s="5" t="inlineStr">
        <is>
          <t>Alta</t>
        </is>
      </c>
      <c r="E83" s="5" t="inlineStr">
        <is>
          <t>Cliente · listado 14/09</t>
        </is>
      </c>
      <c r="F83" s="5" t="inlineStr">
        <is>
          <t>F1</t>
        </is>
      </c>
      <c r="G83" s="5" t="inlineStr">
        <is>
          <t>F1.1</t>
        </is>
      </c>
      <c r="H83" s="5" t="inlineStr">
        <is>
          <t>D</t>
        </is>
      </c>
      <c r="I83" s="5" t="inlineStr">
        <is>
          <t>En una pantalla de 1280 px se ven los 24 trastes sin desplazarse.</t>
        </is>
      </c>
      <c r="J83" s="5" t="inlineStr">
        <is>
          <t>Cumple</t>
        </is>
      </c>
      <c r="K83" s="5" t="inlineStr">
        <is>
          <t>0.1.0</t>
        </is>
      </c>
      <c r="L83" s="5" t="inlineStr">
        <is>
          <t>F1.1 #14</t>
        </is>
      </c>
      <c r="M83" s="5" t="inlineStr">
        <is>
          <t>Pendiente</t>
        </is>
      </c>
      <c r="N83" s="5" t="inlineStr">
        <is>
          <t>Cliente</t>
        </is>
      </c>
      <c r="O83" s="5" t="inlineStr">
        <is>
          <t>Arranca mostrando el mástil completo en pantallas anchas.</t>
        </is>
      </c>
      <c r="P83" s="6" t="n"/>
      <c r="Q83" s="5" t="inlineStr"/>
    </row>
    <row r="84" ht="120" customHeight="1">
      <c r="A84" s="4" t="inlineStr">
        <is>
          <t>V-04</t>
        </is>
      </c>
      <c r="B84" s="5" t="inlineStr">
        <is>
          <t>Visualización</t>
        </is>
      </c>
      <c r="C84" s="5" t="inlineStr">
        <is>
          <t>Control de zoom que determina qué porción del mástil se ve.</t>
        </is>
      </c>
      <c r="D84" s="5" t="inlineStr">
        <is>
          <t>Alta</t>
        </is>
      </c>
      <c r="E84" s="5" t="inlineStr">
        <is>
          <t>Cliente · 20/10 (interfaz.md v1.0)</t>
        </is>
      </c>
      <c r="F84" s="5" t="inlineStr">
        <is>
          <t>F1 · F3</t>
        </is>
      </c>
      <c r="G84" s="5" t="inlineStr">
        <is>
          <t>F1.1 · F3.2</t>
        </is>
      </c>
      <c r="H84" s="5" t="inlineStr">
        <is>
          <t>D</t>
        </is>
      </c>
      <c r="I84"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84" s="5" t="inlineStr">
        <is>
          <t>Cumple</t>
        </is>
      </c>
      <c r="K84" s="5" t="inlineStr">
        <is>
          <t>0.1.0</t>
        </is>
      </c>
      <c r="L84" s="5" t="inlineStr">
        <is>
          <t>F1.1 #7 y #8 · V-06 · Banco (node --test): 40 px por defecto, 28 con «+», orden de los botones · Sesión 1: A07, A08 y C04</t>
        </is>
      </c>
      <c r="M84" s="5" t="inlineStr">
        <is>
          <t>Verificado</t>
        </is>
      </c>
      <c r="N84" s="5" t="inlineStr">
        <is>
          <t>Cliente</t>
        </is>
      </c>
      <c r="O84"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84" s="6" t="n"/>
      <c r="Q84" s="5" t="inlineStr"/>
    </row>
    <row r="85" ht="33" customHeight="1">
      <c r="A85" s="4" t="inlineStr">
        <is>
          <t>V-05</t>
        </is>
      </c>
      <c r="B85" s="5" t="inlineStr">
        <is>
          <t>Visualización</t>
        </is>
      </c>
      <c r="C85" s="5" t="inlineStr">
        <is>
          <t>Cuando el mástil no cabe, el usuario se desplaza lateralmente.</t>
        </is>
      </c>
      <c r="D85" s="5" t="inlineStr">
        <is>
          <t>Alta</t>
        </is>
      </c>
      <c r="E85" s="5" t="inlineStr">
        <is>
          <t>Cliente · listado 14/09</t>
        </is>
      </c>
      <c r="F85" s="5" t="inlineStr">
        <is>
          <t>F1</t>
        </is>
      </c>
      <c r="G85" s="5" t="inlineStr">
        <is>
          <t>F1.1</t>
        </is>
      </c>
      <c r="H85" s="5" t="inlineStr">
        <is>
          <t>D</t>
        </is>
      </c>
      <c r="I85" s="5" t="inlineStr">
        <is>
          <t>Con el mástil más ancho que la pantalla se puede desplazar hasta el traste 24.</t>
        </is>
      </c>
      <c r="J85" s="5" t="inlineStr">
        <is>
          <t>Cumple</t>
        </is>
      </c>
      <c r="K85" s="5" t="inlineStr">
        <is>
          <t>0.1.0 **Validado en la Sesión 1** (20/10, informe `V-08`): A08.</t>
        </is>
      </c>
      <c r="L85" s="5" t="inlineStr">
        <is>
          <t>F1.1 #14 · Sesión 1: A08</t>
        </is>
      </c>
      <c r="M85" s="5" t="inlineStr">
        <is>
          <t>Verificado</t>
        </is>
      </c>
      <c r="N85" s="5" t="inlineStr">
        <is>
          <t>Cliente</t>
        </is>
      </c>
      <c r="O85" s="5" t="inlineStr"/>
      <c r="P85" s="6" t="n"/>
      <c r="Q85" s="5" t="inlineStr"/>
    </row>
    <row r="86" ht="48" customHeight="1">
      <c r="A86" s="4" t="inlineStr">
        <is>
          <t>V-06</t>
        </is>
      </c>
      <c r="B86" s="5" t="inlineStr">
        <is>
          <t>Visualización</t>
        </is>
      </c>
      <c r="C86" s="5" t="inlineStr">
        <is>
          <t>El ancho de traste no cambia al desplazarse: el zoom fija el tamaño y el desplazamiento mueve la ventana.</t>
        </is>
      </c>
      <c r="D86" s="5" t="inlineStr">
        <is>
          <t>Alta</t>
        </is>
      </c>
      <c r="E86" s="5" t="inlineStr">
        <is>
          <t>Cliente · listado 14/09</t>
        </is>
      </c>
      <c r="F86" s="5" t="inlineStr">
        <is>
          <t>F1</t>
        </is>
      </c>
      <c r="G86" s="5" t="inlineStr">
        <is>
          <t>F1.1</t>
        </is>
      </c>
      <c r="H86" s="5" t="inlineStr">
        <is>
          <t>D</t>
        </is>
      </c>
      <c r="I86" s="5" t="inlineStr">
        <is>
          <t>Desplazarse no cambia el ancho de los trastes.</t>
        </is>
      </c>
      <c r="J86" s="5" t="inlineStr">
        <is>
          <t>Cumple</t>
        </is>
      </c>
      <c r="K86" s="5" t="inlineStr">
        <is>
          <t>0.1.0 **Validado en la Sesión 1** (20/10, informe `V-08`): A07.</t>
        </is>
      </c>
      <c r="L86" s="5" t="inlineStr">
        <is>
          <t>F1.1 #7 · Sesión 1: A07</t>
        </is>
      </c>
      <c r="M86" s="5" t="inlineStr">
        <is>
          <t>Verificado</t>
        </is>
      </c>
      <c r="N86" s="5" t="inlineStr">
        <is>
          <t>Cliente</t>
        </is>
      </c>
      <c r="O86" s="5" t="inlineStr"/>
      <c r="P86" s="6" t="n"/>
      <c r="Q86" s="5" t="inlineStr"/>
    </row>
    <row r="87" ht="33" customHeight="1">
      <c r="A87" s="4" t="inlineStr">
        <is>
          <t>V-07</t>
        </is>
      </c>
      <c r="B87" s="5" t="inlineStr">
        <is>
          <t>Visualización</t>
        </is>
      </c>
      <c r="C87" s="5" t="inlineStr">
        <is>
          <t>El mástil se readapta al redimensionar la ventana.</t>
        </is>
      </c>
      <c r="D87" s="5" t="inlineStr">
        <is>
          <t>Alta</t>
        </is>
      </c>
      <c r="E87" s="5" t="inlineStr">
        <is>
          <t>Cliente · listado 14/09</t>
        </is>
      </c>
      <c r="F87" s="5" t="inlineStr">
        <is>
          <t>F1</t>
        </is>
      </c>
      <c r="G87" s="5" t="inlineStr">
        <is>
          <t>F1.1</t>
        </is>
      </c>
      <c r="H87" s="5" t="inlineStr">
        <is>
          <t>D</t>
        </is>
      </c>
      <c r="I87" s="5" t="inlineStr">
        <is>
          <t>Al redimensionar la ventana el mástil se reajusta sin perder el tramo visible.</t>
        </is>
      </c>
      <c r="J87" s="5" t="inlineStr">
        <is>
          <t>Cumple</t>
        </is>
      </c>
      <c r="K87" s="5" t="inlineStr">
        <is>
          <t>0.1.0 **Validado en la Sesión 1** (20/10, informe `V-08`): A08.</t>
        </is>
      </c>
      <c r="L87" s="5" t="inlineStr">
        <is>
          <t>F1.1 #7 · Sesión 1: A08</t>
        </is>
      </c>
      <c r="M87" s="5" t="inlineStr">
        <is>
          <t>Verificado</t>
        </is>
      </c>
      <c r="N87" s="5" t="inlineStr">
        <is>
          <t>Cliente</t>
        </is>
      </c>
      <c r="O87" s="5" t="inlineStr"/>
      <c r="P87" s="6" t="n"/>
      <c r="Q87" s="5" t="inlineStr"/>
    </row>
    <row r="88" ht="33" customHeight="1">
      <c r="A88" s="4" t="inlineStr">
        <is>
          <t>V-08</t>
        </is>
      </c>
      <c r="B88" s="5" t="inlineStr">
        <is>
          <t>Visualización</t>
        </is>
      </c>
      <c r="C88" s="5" t="inlineStr">
        <is>
          <t>El nivel de zoom persiste entre sesiones.</t>
        </is>
      </c>
      <c r="D88" s="5" t="inlineStr">
        <is>
          <t>Baja</t>
        </is>
      </c>
      <c r="E88" s="5" t="inlineStr">
        <is>
          <t>Cliente · listado 14/09</t>
        </is>
      </c>
      <c r="F88" s="5" t="inlineStr">
        <is>
          <t>F1</t>
        </is>
      </c>
      <c r="G88" s="5" t="inlineStr">
        <is>
          <t>F1.1</t>
        </is>
      </c>
      <c r="H88" s="5" t="inlineStr">
        <is>
          <t>D</t>
        </is>
      </c>
      <c r="I88" s="5" t="inlineStr">
        <is>
          <t>El zoom se mantiene tras recargar y tras girar el móvil.</t>
        </is>
      </c>
      <c r="J88" s="5" t="inlineStr">
        <is>
          <t>Cumple</t>
        </is>
      </c>
      <c r="K88" s="5" t="inlineStr">
        <is>
          <t>0.1.0</t>
        </is>
      </c>
      <c r="L88" s="5" t="inlineStr">
        <is>
          <t>F1.1 #13</t>
        </is>
      </c>
      <c r="M88" s="5" t="inlineStr">
        <is>
          <t>Pendiente</t>
        </is>
      </c>
      <c r="N88" s="5" t="inlineStr">
        <is>
          <t>Cliente</t>
        </is>
      </c>
      <c r="O88" s="5" t="inlineStr">
        <is>
          <t>Desde 0.1.1 girar el móvil ya no pisa el zoom elegido.</t>
        </is>
      </c>
      <c r="P88" s="6" t="n"/>
      <c r="Q88" s="5" t="inlineStr"/>
    </row>
    <row r="89" ht="63" customHeight="1">
      <c r="A89" s="4" t="inlineStr">
        <is>
          <t>V-09</t>
        </is>
      </c>
      <c r="B89" s="5" t="inlineStr">
        <is>
          <t>Visualización</t>
        </is>
      </c>
      <c r="C89" s="5" t="inlineStr">
        <is>
          <t>Al ocultar la numeración se puede conservar una referencia de tramo: el modo «Guía» deja solo los números de los trastes con marca.</t>
        </is>
      </c>
      <c r="D89" s="5" t="inlineStr">
        <is>
          <t>Media</t>
        </is>
      </c>
      <c r="E89" s="5" t="inlineStr">
        <is>
          <t>AR-01</t>
        </is>
      </c>
      <c r="F89" s="5" t="inlineStr">
        <is>
          <t>F1</t>
        </is>
      </c>
      <c r="G89" s="5" t="inlineStr">
        <is>
          <t>F1.3</t>
        </is>
      </c>
      <c r="H89" s="5" t="inlineStr">
        <is>
          <t>T</t>
        </is>
      </c>
      <c r="I89" s="5" t="inlineStr">
        <is>
          <t>El modo Guía mantiene visibles solo los números de los trastes con marca.</t>
        </is>
      </c>
      <c r="J89" s="5" t="inlineStr">
        <is>
          <t>Cumple</t>
        </is>
      </c>
      <c r="K89" s="5" t="inlineStr">
        <is>
          <t>0.1.2</t>
        </is>
      </c>
      <c r="L89" s="5" t="inlineStr">
        <is>
          <t>Banco (node --test) · F1.1 #11 · Sesión 1: A11</t>
        </is>
      </c>
      <c r="M89" s="5" t="inlineStr">
        <is>
          <t>Verificado</t>
        </is>
      </c>
      <c r="N89" s="5" t="inlineStr">
        <is>
          <t>Banco automático + auditor técnico</t>
        </is>
      </c>
      <c r="O89" s="5" t="inlineStr">
        <is>
          <t>Sin números, los trastes 5 y 17 llevan la misma marca y se confunden. Se descartó el minimapa por desproporcionado. Validado en la Sesión 1 (20/10, informe V-08): A11.</t>
        </is>
      </c>
      <c r="P89" s="6" t="n"/>
      <c r="Q89" s="5" t="inlineStr"/>
    </row>
    <row r="90" ht="108" customHeight="1">
      <c r="A90" s="4" t="inlineStr">
        <is>
          <t>C-01</t>
        </is>
      </c>
      <c r="B90" s="5" t="inlineStr">
        <is>
          <t>Configuración y navegación</t>
        </is>
      </c>
      <c r="C90" s="5" t="inlineStr">
        <is>
          <t>Menú de configuración accesible desde cualquier pantalla.</t>
        </is>
      </c>
      <c r="D90" s="5" t="inlineStr">
        <is>
          <t>Alta</t>
        </is>
      </c>
      <c r="E90" s="5" t="inlineStr">
        <is>
          <t>Cliente · listado 14/09</t>
        </is>
      </c>
      <c r="F90" s="5" t="inlineStr">
        <is>
          <t>F1</t>
        </is>
      </c>
      <c r="G90" s="5" t="inlineStr">
        <is>
          <t>F1.1</t>
        </is>
      </c>
      <c r="H90" s="5" t="inlineStr">
        <is>
          <t>D</t>
        </is>
      </c>
      <c r="I90" s="5" t="inlineStr">
        <is>
          <t>El botón de Ajustes abre el panel desde cualquier pantalla y Escape lo cierra.</t>
        </is>
      </c>
      <c r="J90" s="5" t="inlineStr">
        <is>
          <t>Cumple</t>
        </is>
      </c>
      <c r="K90" s="5" t="inlineStr">
        <is>
          <t>0.1.0</t>
        </is>
      </c>
      <c r="L90" s="5" t="inlineStr">
        <is>
          <t>F1.1 #14 · Sesión 1: A19 y C05</t>
        </is>
      </c>
      <c r="M90" s="5" t="inlineStr">
        <is>
          <t>Verificado</t>
        </is>
      </c>
      <c r="N90" s="5" t="inlineStr">
        <is>
          <t>Cliente</t>
        </is>
      </c>
      <c r="O90"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90" s="6" t="n"/>
      <c r="Q90" s="5" t="inlineStr"/>
    </row>
    <row r="91" ht="108" customHeight="1">
      <c r="A91" s="4" t="inlineStr">
        <is>
          <t>C-02</t>
        </is>
      </c>
      <c r="B91" s="5" t="inlineStr">
        <is>
          <t>Configuración y navegación</t>
        </is>
      </c>
      <c r="C91" s="5" t="inlineStr">
        <is>
          <t>El menú contiene nomenclatura, pentagrama, timbre, numeración de trastes (tres modos), ver todas las notas, señalar iguales y afinación activa, y muestra la versión de la app.</t>
        </is>
      </c>
      <c r="D91" s="5" t="inlineStr">
        <is>
          <t>Alta</t>
        </is>
      </c>
      <c r="E91" s="5" t="inlineStr">
        <is>
          <t>Cliente · listado 14/09</t>
        </is>
      </c>
      <c r="F91" s="5" t="inlineStr">
        <is>
          <t>F1</t>
        </is>
      </c>
      <c r="G91" s="5" t="inlineStr">
        <is>
          <t>F1.1</t>
        </is>
      </c>
      <c r="H91" s="5" t="inlineStr">
        <is>
          <t>I</t>
        </is>
      </c>
      <c r="I91" s="5" t="inlineStr">
        <is>
          <t>El panel contiene todos los ajustes listados, el idioma (0.4.2) y la versión de la app.</t>
        </is>
      </c>
      <c r="J91" s="5" t="inlineStr">
        <is>
          <t>Cumple</t>
        </is>
      </c>
      <c r="K91" s="5" t="inlineStr">
        <is>
          <t>0.1.0</t>
        </is>
      </c>
      <c r="L91" s="5" t="inlineStr">
        <is>
          <t>F1.1 #12 · Banco (node --test): grupo Idioma</t>
        </is>
      </c>
      <c r="M91" s="5" t="inlineStr">
        <is>
          <t>Pendiente</t>
        </is>
      </c>
      <c r="N91" s="5" t="inlineStr">
        <is>
          <t>Auditor de requisitos</t>
        </is>
      </c>
      <c r="O91" s="5" t="inlineStr">
        <is>
          <t>Ampliado en 0.1.2 con la numeración en tres modos y la versión (G-10). En F6.4 se añade el grupo «Acerca de», con los créditos (G-06) y la privacidad (G-11) (interfaz.md v1.0, aprobada el 20/10). Desde la 0.4.2, Ajustes empieza con el grupo «Idioma · Language» (G-12).</t>
        </is>
      </c>
      <c r="P91" s="6" t="n"/>
      <c r="Q91" s="5" t="inlineStr">
        <is>
          <t>Modificado</t>
        </is>
      </c>
    </row>
    <row r="92" ht="78" customHeight="1">
      <c r="A92" s="4" t="inlineStr">
        <is>
          <t>C-03</t>
        </is>
      </c>
      <c r="B92" s="5" t="inlineStr">
        <is>
          <t>Configuración y navegación</t>
        </is>
      </c>
      <c r="C92" s="5" t="inlineStr">
        <is>
          <t>Los ajustes frecuentes tienen acceso rápido sin abrir el menú.</t>
        </is>
      </c>
      <c r="D92" s="5" t="inlineStr">
        <is>
          <t>Alta</t>
        </is>
      </c>
      <c r="E92" s="5" t="inlineStr">
        <is>
          <t>Cliente · listado 14/09</t>
        </is>
      </c>
      <c r="F92" s="5" t="inlineStr">
        <is>
          <t>F1</t>
        </is>
      </c>
      <c r="G92" s="5" t="inlineStr">
        <is>
          <t>F1.1</t>
        </is>
      </c>
      <c r="H92" s="5" t="inlineStr">
        <is>
          <t>D</t>
        </is>
      </c>
      <c r="I92" s="5" t="inlineStr">
        <is>
          <t>Nomenclatura, pentagrama y pistas tienen chips de acceso rápido.</t>
        </is>
      </c>
      <c r="J92" s="5" t="inlineStr">
        <is>
          <t>Cumple</t>
        </is>
      </c>
      <c r="K92" s="5" t="inlineStr">
        <is>
          <t>0.1.0</t>
        </is>
      </c>
      <c r="L92" s="5" t="inlineStr">
        <is>
          <t>F1.1 #14</t>
        </is>
      </c>
      <c r="M92" s="5" t="inlineStr">
        <is>
          <t>Pendiente</t>
        </is>
      </c>
      <c r="N92" s="5" t="inlineStr">
        <is>
          <t>Cliente</t>
        </is>
      </c>
      <c r="O92" s="5" t="inlineStr">
        <is>
          <t>Nomenclatura y pentagrama en chips bajo la cabecera, o en el panel en horizontal, donde el pentagrama se rotula con la clave de sol; las dos pistas del juego, en la tarjeta del reto (0.3.0).</t>
        </is>
      </c>
      <c r="P92" s="6" t="n"/>
      <c r="Q92" s="5" t="inlineStr"/>
    </row>
    <row r="93" ht="93" customHeight="1">
      <c r="A93" s="4" t="inlineStr">
        <is>
          <t>C-04</t>
        </is>
      </c>
      <c r="B93" s="5" t="inlineStr">
        <is>
          <t>Configuración y navegación</t>
        </is>
      </c>
      <c r="C93" s="5" t="inlineStr">
        <is>
          <t>Navegación principal clara entre las áreas de la app.</t>
        </is>
      </c>
      <c r="D93" s="5" t="inlineStr">
        <is>
          <t>Alta</t>
        </is>
      </c>
      <c r="E93" s="5" t="inlineStr">
        <is>
          <t>Cliente · 20/10 (interfaz.md v1.0)</t>
        </is>
      </c>
      <c r="F93" s="5" t="inlineStr">
        <is>
          <t>F1</t>
        </is>
      </c>
      <c r="G93" s="5" t="inlineStr">
        <is>
          <t>F1.1</t>
        </is>
      </c>
      <c r="H93" s="5" t="inlineStr">
        <is>
          <t>D</t>
        </is>
      </c>
      <c r="I93" s="5" t="inlineStr">
        <is>
          <t>La navegación (barra inferior, raíl o pestañas en la cabecera, según la disposición) lleva a cada área con un toque.</t>
        </is>
      </c>
      <c r="J93" s="5" t="inlineStr">
        <is>
          <t>Cumple</t>
        </is>
      </c>
      <c r="K93" s="5" t="inlineStr">
        <is>
          <t>0.1.0</t>
        </is>
      </c>
      <c r="L93" s="5" t="inlineStr">
        <is>
          <t>F1.1 #14 · Sesión 1: A19</t>
        </is>
      </c>
      <c r="M93" s="5" t="inlineStr">
        <is>
          <t>Verificado</t>
        </is>
      </c>
      <c r="N93" s="5" t="inlineStr">
        <is>
          <t>Cliente</t>
        </is>
      </c>
      <c r="O93" s="5" t="inlineStr">
        <is>
          <t>Barra inferior con cuatro destinos en vertical, raíl a la izquierda en horizontal y pestañas en la cabecera en pantallas amplias (0.3.0). En pantallas bajas la barra nunca se sale (AR-05). Validado en la Sesión 1 (20/10, informe V-08): A19.</t>
        </is>
      </c>
      <c r="P93" s="6" t="n"/>
      <c r="Q93" s="5" t="inlineStr"/>
    </row>
    <row r="94" ht="48" customHeight="1">
      <c r="A94" s="4" t="inlineStr">
        <is>
          <t>C-05</t>
        </is>
      </c>
      <c r="B94" s="5" t="inlineStr">
        <is>
          <t>Configuración y navegación</t>
        </is>
      </c>
      <c r="C94" s="5" t="inlineStr">
        <is>
          <t>Todos los ajustes persisten entre sesiones.</t>
        </is>
      </c>
      <c r="D94" s="5" t="inlineStr">
        <is>
          <t>Media</t>
        </is>
      </c>
      <c r="E94" s="5" t="inlineStr">
        <is>
          <t>Cliente · listado 14/09</t>
        </is>
      </c>
      <c r="F94" s="5" t="inlineStr">
        <is>
          <t>F1</t>
        </is>
      </c>
      <c r="G94" s="5" t="inlineStr">
        <is>
          <t>F1.1</t>
        </is>
      </c>
      <c r="H94" s="5" t="inlineStr">
        <is>
          <t>T</t>
        </is>
      </c>
      <c r="I94" s="5" t="inlineStr">
        <is>
          <t>Todos los ajustes persisten tras recargar, y unos ajustes corruptos o antiguos no rompen la app.</t>
        </is>
      </c>
      <c r="J94" s="5" t="inlineStr">
        <is>
          <t>Cumple</t>
        </is>
      </c>
      <c r="K94" s="5" t="inlineStr">
        <is>
          <t>0.1.0</t>
        </is>
      </c>
      <c r="L94" s="5" t="inlineStr">
        <is>
          <t>Banco (node --test): migración · F1.1 #13 · Sesión 1: A14 y A15</t>
        </is>
      </c>
      <c r="M94" s="5" t="inlineStr">
        <is>
          <t>Verificado</t>
        </is>
      </c>
      <c r="N94" s="5" t="inlineStr">
        <is>
          <t>Banco automático + auditor técnico</t>
        </is>
      </c>
      <c r="O94" s="5" t="inlineStr">
        <is>
          <t>Un único objeto de estado, validado campo a campo al leerlo (0.1.1). Validado en la Sesión 1 (20/10, informe V-08): A14 y A15.</t>
        </is>
      </c>
      <c r="P94" s="6" t="n"/>
      <c r="Q94" s="5" t="inlineStr"/>
    </row>
    <row r="95" ht="93" customHeight="1">
      <c r="A95" s="4" t="inlineStr">
        <is>
          <t>C-06</t>
        </is>
      </c>
      <c r="B95" s="5" t="inlineStr">
        <is>
          <t>Configuración y navegación</t>
        </is>
      </c>
      <c r="C95" s="5" t="inlineStr">
        <is>
          <t>Especificación detallada de la interfaz: estructura de menús, jerarquía de controles y flujos de navegación.</t>
        </is>
      </c>
      <c r="D95" s="5" t="inlineStr">
        <is>
          <t>Alta</t>
        </is>
      </c>
      <c r="E95" s="5" t="inlineStr">
        <is>
          <t>Cliente · listado 14/09</t>
        </is>
      </c>
      <c r="F95" s="5" t="inlineStr">
        <is>
          <t>F3</t>
        </is>
      </c>
      <c r="G95" s="5" t="inlineStr">
        <is>
          <t>F3.1</t>
        </is>
      </c>
      <c r="H95" s="5" t="inlineStr">
        <is>
          <t>I</t>
        </is>
      </c>
      <c r="I95" s="5" t="inlineStr">
        <is>
          <t>interfaz.md aprobado por el cliente y revisado por el auditor de requisitos.</t>
        </is>
      </c>
      <c r="J95" s="5" t="inlineStr">
        <is>
          <t>Cumple</t>
        </is>
      </c>
      <c r="K95" s="5" t="inlineStr">
        <is>
          <t>0.2.3</t>
        </is>
      </c>
      <c r="L95" s="5" t="inlineStr">
        <is>
          <t>interfaz.md v1.0 · AR-04 · aprobación del cliente el 20/10</t>
        </is>
      </c>
      <c r="M95" s="5" t="inlineStr">
        <is>
          <t>Verificado</t>
        </is>
      </c>
      <c r="N95" s="5" t="inlineStr">
        <is>
          <t>Auditor de requisitos</t>
        </is>
      </c>
      <c r="O95" s="5" t="inlineStr">
        <is>
          <t>docs/interfaz.md v1.0, aprobada por ti el 20/10 tras la auditoría AR-04 (10 hallazgos resueltos). Bocetos al tamaño real de cada pantalla en docs/interfaz/, comprobados por herramientas/capturar-wireframes.js. Los cambios posteriores suben su versión.</t>
        </is>
      </c>
      <c r="P95" s="6" t="n"/>
      <c r="Q95" s="5" t="inlineStr"/>
    </row>
    <row r="96" ht="120" customHeight="1">
      <c r="A96" s="4" t="inlineStr">
        <is>
          <t>C-07</t>
        </is>
      </c>
      <c r="B96" s="5" t="inlineStr">
        <is>
          <t>Configuración y navegación</t>
        </is>
      </c>
      <c r="C96" s="5" t="inlineStr">
        <is>
          <t>Botón «atrás» del sistema: mientras haya un paso anterior en la sesión, el botón o gesto «atrás» cierra Ajustes o vuelve al área anterior; desde la primera área actúa el sistema. Al abrir la app se entra en Libre.</t>
        </is>
      </c>
      <c r="D96" s="5" t="inlineStr">
        <is>
          <t>Media</t>
        </is>
      </c>
      <c r="E96" s="5" t="inlineStr">
        <is>
          <t>Cliente · 20/10 (interfaz.md v1.0)</t>
        </is>
      </c>
      <c r="F96" s="5" t="inlineStr">
        <is>
          <t>F3</t>
        </is>
      </c>
      <c r="G96" s="5" t="inlineStr">
        <is>
          <t>F3.2</t>
        </is>
      </c>
      <c r="H96" s="5" t="inlineStr">
        <is>
          <t>D</t>
        </is>
      </c>
      <c r="I96" s="5" t="inlineStr">
        <is>
          <t>Con un paso anterior en la sesión, «atrás» cierra Ajustes o vuelve al área anterior; desde la primera área actúa el sistema; al abrir o recargar se entra en Libre. Prueba manual en Windows y en el simulador de Android de Chrome.</t>
        </is>
      </c>
      <c r="J96" s="5" t="inlineStr">
        <is>
          <t>Cumple</t>
        </is>
      </c>
      <c r="K96" s="5" t="inlineStr">
        <is>
          <t>0.3.0</t>
        </is>
      </c>
      <c r="L96" s="5" t="inlineStr">
        <is>
          <t>Banco (node --test): historial simulado con popstate (3 pruebas) · Sesión 1: A17</t>
        </is>
      </c>
      <c r="M96" s="5" t="inlineStr">
        <is>
          <t>Verificado</t>
        </is>
      </c>
      <c r="N96" s="5" t="inlineStr">
        <is>
          <t>Cliente</t>
        </is>
      </c>
      <c r="O96"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96" s="6" t="n"/>
      <c r="Q96" s="5" t="inlineStr"/>
    </row>
    <row r="97" ht="93" customHeight="1">
      <c r="A97" s="4" t="inlineStr">
        <is>
          <t>C-08</t>
        </is>
      </c>
      <c r="B97" s="5" t="inlineStr">
        <is>
          <t>Configuración y navegación</t>
        </is>
      </c>
      <c r="C97" s="5" t="inlineStr">
        <is>
          <t>Menú Personalización dentro de Ajustes: estilos de nota en el mástil (círculo de color o solo el nombre, más grande o en negrita), estilo del traste y del mástil, interior claro para «Ver todas las notas» y temas de color de la app.</t>
        </is>
      </c>
      <c r="D97" s="5" t="inlineStr">
        <is>
          <t>Media</t>
        </is>
      </c>
      <c r="E97" s="5" t="inlineStr">
        <is>
          <t>Cliente · listado 14/09</t>
        </is>
      </c>
      <c r="F97" s="5" t="inlineStr">
        <is>
          <t>Posterior</t>
        </is>
      </c>
      <c r="G97" s="5" t="inlineStr">
        <is>
          <t>Posterior</t>
        </is>
      </c>
      <c r="H97" s="5" t="inlineStr">
        <is>
          <t>N/A</t>
        </is>
      </c>
      <c r="I97" s="5" t="inlineStr">
        <is>
          <t>Fuera del alcance actual.</t>
        </is>
      </c>
      <c r="J97" s="5" t="inlineStr">
        <is>
          <t>No aplica</t>
        </is>
      </c>
      <c r="K97" s="5" t="inlineStr">
        <is>
          <t>—</t>
        </is>
      </c>
      <c r="L97" s="5" t="inlineStr">
        <is>
          <t>—</t>
        </is>
      </c>
      <c r="M97" s="5" t="inlineStr">
        <is>
          <t>No aplica</t>
        </is>
      </c>
      <c r="N97" s="5" t="inlineStr">
        <is>
          <t>—</t>
        </is>
      </c>
      <c r="O97" s="5" t="inlineStr">
        <is>
          <t>Tus comentarios de la Sesión 1 (A10, C06 y E06), para una actualización posterior. La paleta por nota de G-05 se mantiene como punto de partida.</t>
        </is>
      </c>
      <c r="P97" s="6" t="n"/>
      <c r="Q97" s="5" t="inlineStr"/>
    </row>
    <row r="98" ht="78" customHeight="1">
      <c r="A98" s="4" t="inlineStr">
        <is>
          <t>X-01</t>
        </is>
      </c>
      <c r="B98" s="5" t="inlineStr">
        <is>
          <t>Respaldo y publicación</t>
        </is>
      </c>
      <c r="C98" s="5" t="inlineStr">
        <is>
          <t>El código y la documentación están respaldados en el repositorio remoto (GitHub). Respaldar no es publicar.</t>
        </is>
      </c>
      <c r="D98" s="5" t="inlineStr">
        <is>
          <t>Alta</t>
        </is>
      </c>
      <c r="E98" s="5" t="inlineStr">
        <is>
          <t>Desarrollo · v1.1</t>
        </is>
      </c>
      <c r="F98" s="5" t="inlineStr">
        <is>
          <t>F1</t>
        </is>
      </c>
      <c r="G98" s="5" t="inlineStr">
        <is>
          <t>F1.2 · F1.4</t>
        </is>
      </c>
      <c r="H98" s="5" t="inlineStr">
        <is>
          <t>I</t>
        </is>
      </c>
      <c r="I98" s="5" t="inlineStr">
        <is>
          <t>GitHub muestra la última versión en main, entrada por pull request aprobado, y la etiqueta de cierre de fase.</t>
        </is>
      </c>
      <c r="J98" s="5" t="inlineStr">
        <is>
          <t>Cumple</t>
        </is>
      </c>
      <c r="K98" s="5" t="inlineStr">
        <is>
          <t>0.1.4</t>
        </is>
      </c>
      <c r="L98" s="5" t="inlineStr">
        <is>
          <t>PR #1 a #5 fusionados · etiqueta v0.1.5</t>
        </is>
      </c>
      <c r="M98" s="5" t="inlineStr">
        <is>
          <t>Verificado parcialmente</t>
        </is>
      </c>
      <c r="N98" s="5" t="inlineStr">
        <is>
          <t>Auditor de requisitos</t>
        </is>
      </c>
      <c r="O98" s="5" t="inlineStr">
        <is>
          <t>Desde el 15/10 todo el proyecto está en pdigue/guitarra; cada versión entra por pull request aprobado (del #1 al #5) y F1 se cerró con la etiqueta v0.1.5. El repositorio es público.</t>
        </is>
      </c>
      <c r="P98" s="6" t="n"/>
      <c r="Q98" s="5" t="inlineStr"/>
    </row>
    <row r="99" ht="120" customHeight="1">
      <c r="A99" s="4" t="inlineStr">
        <is>
          <t>X-02</t>
        </is>
      </c>
      <c r="B99" s="5" t="inlineStr">
        <is>
          <t>Respaldo y publicación</t>
        </is>
      </c>
      <c r="C99" s="5" t="inlineStr">
        <is>
          <t>La app está publicada en una URL pública (GitHub Pages).</t>
        </is>
      </c>
      <c r="D99" s="5" t="inlineStr">
        <is>
          <t>Alta</t>
        </is>
      </c>
      <c r="E99" s="5" t="inlineStr">
        <is>
          <t>Desarrollo · v1.1</t>
        </is>
      </c>
      <c r="F99" s="5" t="inlineStr">
        <is>
          <t>F7</t>
        </is>
      </c>
      <c r="G99" s="5" t="inlineStr">
        <is>
          <t>F7.1</t>
        </is>
      </c>
      <c r="H99" s="5" t="inlineStr">
        <is>
          <t>D</t>
        </is>
      </c>
      <c r="I99" s="5" t="inlineStr">
        <is>
          <t>La URL pública carga la app desde un dispositivo ajeno al proyecto.</t>
        </is>
      </c>
      <c r="J99" s="5" t="inlineStr">
        <is>
          <t>No cumple</t>
        </is>
      </c>
      <c r="K99" s="5" t="inlineStr">
        <is>
          <t>—</t>
        </is>
      </c>
      <c r="L99" s="5" t="inlineStr">
        <is>
          <t>—</t>
        </is>
      </c>
      <c r="M99" s="5" t="inlineStr">
        <is>
          <t>Pendiente</t>
        </is>
      </c>
      <c r="N99" s="5" t="inlineStr">
        <is>
          <t>Cliente</t>
        </is>
      </c>
      <c r="O99"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9" s="6" t="n"/>
      <c r="Q99" s="5" t="inlineStr"/>
    </row>
    <row r="100" ht="33" customHeight="1">
      <c r="A100" s="4" t="inlineStr">
        <is>
          <t>X-03</t>
        </is>
      </c>
      <c r="B100" s="5" t="inlineStr">
        <is>
          <t>Respaldo y publicación</t>
        </is>
      </c>
      <c r="C100" s="5" t="inlineStr">
        <is>
          <t>La app está verificada en móviles reales, instalada como icono desde la web publicada.</t>
        </is>
      </c>
      <c r="D100" s="5" t="inlineStr">
        <is>
          <t>Alta</t>
        </is>
      </c>
      <c r="E100" s="5" t="inlineStr">
        <is>
          <t>Desarrollo · v1.1</t>
        </is>
      </c>
      <c r="F100" s="5" t="inlineStr">
        <is>
          <t>F7</t>
        </is>
      </c>
      <c r="G100" s="5" t="inlineStr">
        <is>
          <t>F7.2</t>
        </is>
      </c>
      <c r="H100" s="5" t="inlineStr">
        <is>
          <t>D</t>
        </is>
      </c>
      <c r="I100" s="5" t="inlineStr">
        <is>
          <t>La app instalada desde la web funciona en un Android, un iPhone y un Windows reales.</t>
        </is>
      </c>
      <c r="J100" s="5" t="inlineStr">
        <is>
          <t>No cumple</t>
        </is>
      </c>
      <c r="K100" s="5" t="inlineStr">
        <is>
          <t>—</t>
        </is>
      </c>
      <c r="L100" s="5" t="inlineStr">
        <is>
          <t>—</t>
        </is>
      </c>
      <c r="M100" s="5" t="inlineStr">
        <is>
          <t>Pendiente</t>
        </is>
      </c>
      <c r="N100" s="5" t="inlineStr">
        <is>
          <t>Cliente</t>
        </is>
      </c>
      <c r="O100" s="5" t="inlineStr">
        <is>
          <t>Cierra G-04 y PL-01 a PL-03 en su modo web.</t>
        </is>
      </c>
      <c r="P100" s="6" t="n"/>
      <c r="Q100" s="5" t="inlineStr"/>
    </row>
  </sheetData>
  <autoFilter ref="A4:Q100"/>
  <conditionalFormatting sqref="J5:J100">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00">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00" showDropDown="0" showInputMessage="0" showErrorMessage="0" allowBlank="0" errorTitle="Valor no válido" error="Elige un valor de la lista. Están descritos en la hoja Leyenda." type="list">
      <formula1>"Cumple,Cumple parcialmente,No cumple,No aplica"</formula1>
    </dataValidation>
    <dataValidation sqref="M5:M100" showDropDown="0" showInputMessage="0" showErrorMessage="0" allowBlank="0" errorTitle="Valor no válido" error="Elige un valor de la lista. Están descritos en la hoja Leyenda." type="list">
      <formula1>"Verificado,Verificado parcialmente,Pendiente,No aplica"</formula1>
    </dataValidation>
    <dataValidation sqref="H5:H100"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COUNTIF(Matriz!$F$5:$F$100,"*F1*")</f>
        <v/>
      </c>
      <c r="C5" s="7">
        <f>COUNTIFS(Matriz!$F$5:$F$100,"*F1*",Matriz!$J$5:$J$100,"Cumple")</f>
        <v/>
      </c>
      <c r="D5" s="7">
        <f>COUNTIFS(Matriz!$F$5:$F$100,"*F1*",Matriz!$J$5:$J$100,"Cumple parcialmente")</f>
        <v/>
      </c>
      <c r="E5" s="7">
        <f>COUNTIFS(Matriz!$F$5:$F$100,"*F1*",Matriz!$J$5:$J$100,"No cumple")</f>
        <v/>
      </c>
      <c r="F5" s="7">
        <f>COUNTIFS(Matriz!$F$5:$F$100,"*F1*",Matriz!$J$5:$J$100,"No aplica")</f>
        <v/>
      </c>
      <c r="G5" s="8">
        <f>IFERROR(C5/B5,0)</f>
        <v/>
      </c>
      <c r="H5" s="7">
        <f>COUNTIFS(Matriz!$F$5:$F$100,"*F1*",Matriz!$M$5:$M$100,"Verificado")</f>
        <v/>
      </c>
      <c r="I5" s="7">
        <f>COUNTIFS(Matriz!$F$5:$F$100,"*F1*",Matriz!$M$5:$M$100,"Verificado parcialmente")</f>
        <v/>
      </c>
    </row>
    <row r="6">
      <c r="A6" s="7" t="inlineStr">
        <is>
          <t>F2 · Sonido propio y archivo autónomo</t>
        </is>
      </c>
      <c r="B6" s="7">
        <f>COUNTIF(Matriz!$F$5:$F$100,"*F2*")</f>
        <v/>
      </c>
      <c r="C6" s="7">
        <f>COUNTIFS(Matriz!$F$5:$F$100,"*F2*",Matriz!$J$5:$J$100,"Cumple")</f>
        <v/>
      </c>
      <c r="D6" s="7">
        <f>COUNTIFS(Matriz!$F$5:$F$100,"*F2*",Matriz!$J$5:$J$100,"Cumple parcialmente")</f>
        <v/>
      </c>
      <c r="E6" s="7">
        <f>COUNTIFS(Matriz!$F$5:$F$100,"*F2*",Matriz!$J$5:$J$100,"No cumple")</f>
        <v/>
      </c>
      <c r="F6" s="7">
        <f>COUNTIFS(Matriz!$F$5:$F$100,"*F2*",Matriz!$J$5:$J$100,"No aplica")</f>
        <v/>
      </c>
      <c r="G6" s="8">
        <f>IFERROR(C6/B6,0)</f>
        <v/>
      </c>
      <c r="H6" s="7">
        <f>COUNTIFS(Matriz!$F$5:$F$100,"*F2*",Matriz!$M$5:$M$100,"Verificado")</f>
        <v/>
      </c>
      <c r="I6" s="7">
        <f>COUNTIFS(Matriz!$F$5:$F$100,"*F2*",Matriz!$M$5:$M$100,"Verificado parcialmente")</f>
        <v/>
      </c>
    </row>
    <row r="7">
      <c r="A7" s="7" t="inlineStr">
        <is>
          <t>F3 · Interfaz y adaptación</t>
        </is>
      </c>
      <c r="B7" s="7">
        <f>COUNTIF(Matriz!$F$5:$F$100,"*F3*")</f>
        <v/>
      </c>
      <c r="C7" s="7">
        <f>COUNTIFS(Matriz!$F$5:$F$100,"*F3*",Matriz!$J$5:$J$100,"Cumple")</f>
        <v/>
      </c>
      <c r="D7" s="7">
        <f>COUNTIFS(Matriz!$F$5:$F$100,"*F3*",Matriz!$J$5:$J$100,"Cumple parcialmente")</f>
        <v/>
      </c>
      <c r="E7" s="7">
        <f>COUNTIFS(Matriz!$F$5:$F$100,"*F3*",Matriz!$J$5:$J$100,"No cumple")</f>
        <v/>
      </c>
      <c r="F7" s="7">
        <f>COUNTIFS(Matriz!$F$5:$F$100,"*F3*",Matriz!$J$5:$J$100,"No aplica")</f>
        <v/>
      </c>
      <c r="G7" s="8">
        <f>IFERROR(C7/B7,0)</f>
        <v/>
      </c>
      <c r="H7" s="7">
        <f>COUNTIFS(Matriz!$F$5:$F$100,"*F3*",Matriz!$M$5:$M$100,"Verificado")</f>
        <v/>
      </c>
      <c r="I7" s="7">
        <f>COUNTIFS(Matriz!$F$5:$F$100,"*F3*",Matriz!$M$5:$M$100,"Verificado parcialmente")</f>
        <v/>
      </c>
    </row>
    <row r="8">
      <c r="A8" s="7" t="inlineStr">
        <is>
          <t>F4 · Afinador por micrófono</t>
        </is>
      </c>
      <c r="B8" s="7">
        <f>COUNTIF(Matriz!$F$5:$F$100,"*F4*")</f>
        <v/>
      </c>
      <c r="C8" s="7">
        <f>COUNTIFS(Matriz!$F$5:$F$100,"*F4*",Matriz!$J$5:$J$100,"Cumple")</f>
        <v/>
      </c>
      <c r="D8" s="7">
        <f>COUNTIFS(Matriz!$F$5:$F$100,"*F4*",Matriz!$J$5:$J$100,"Cumple parcialmente")</f>
        <v/>
      </c>
      <c r="E8" s="7">
        <f>COUNTIFS(Matriz!$F$5:$F$100,"*F4*",Matriz!$J$5:$J$100,"No cumple")</f>
        <v/>
      </c>
      <c r="F8" s="7">
        <f>COUNTIFS(Matriz!$F$5:$F$100,"*F4*",Matriz!$J$5:$J$100,"No aplica")</f>
        <v/>
      </c>
      <c r="G8" s="8">
        <f>IFERROR(C8/B8,0)</f>
        <v/>
      </c>
      <c r="H8" s="7">
        <f>COUNTIFS(Matriz!$F$5:$F$100,"*F4*",Matriz!$M$5:$M$100,"Verificado")</f>
        <v/>
      </c>
      <c r="I8" s="7">
        <f>COUNTIFS(Matriz!$F$5:$F$100,"*F4*",Matriz!$M$5:$M$100,"Verificado parcialmente")</f>
        <v/>
      </c>
    </row>
    <row r="9">
      <c r="A9" s="7" t="inlineStr">
        <is>
          <t>F5 · Escalas</t>
        </is>
      </c>
      <c r="B9" s="7">
        <f>COUNTIF(Matriz!$F$5:$F$100,"*F5*")</f>
        <v/>
      </c>
      <c r="C9" s="7">
        <f>COUNTIFS(Matriz!$F$5:$F$100,"*F5*",Matriz!$J$5:$J$100,"Cumple")</f>
        <v/>
      </c>
      <c r="D9" s="7">
        <f>COUNTIFS(Matriz!$F$5:$F$100,"*F5*",Matriz!$J$5:$J$100,"Cumple parcialmente")</f>
        <v/>
      </c>
      <c r="E9" s="7">
        <f>COUNTIFS(Matriz!$F$5:$F$100,"*F5*",Matriz!$J$5:$J$100,"No cumple")</f>
        <v/>
      </c>
      <c r="F9" s="7">
        <f>COUNTIFS(Matriz!$F$5:$F$100,"*F5*",Matriz!$J$5:$J$100,"No aplica")</f>
        <v/>
      </c>
      <c r="G9" s="8">
        <f>IFERROR(C9/B9,0)</f>
        <v/>
      </c>
      <c r="H9" s="7">
        <f>COUNTIFS(Matriz!$F$5:$F$100,"*F5*",Matriz!$M$5:$M$100,"Verificado")</f>
        <v/>
      </c>
      <c r="I9" s="7">
        <f>COUNTIFS(Matriz!$F$5:$F$100,"*F5*",Matriz!$M$5:$M$100,"Verificado parcialmente")</f>
        <v/>
      </c>
    </row>
    <row r="10">
      <c r="A10" s="7" t="inlineStr">
        <is>
          <t>F6 · Preparación para distribución</t>
        </is>
      </c>
      <c r="B10" s="7">
        <f>COUNTIF(Matriz!$F$5:$F$100,"*F6*")</f>
        <v/>
      </c>
      <c r="C10" s="7">
        <f>COUNTIFS(Matriz!$F$5:$F$100,"*F6*",Matriz!$J$5:$J$100,"Cumple")</f>
        <v/>
      </c>
      <c r="D10" s="7">
        <f>COUNTIFS(Matriz!$F$5:$F$100,"*F6*",Matriz!$J$5:$J$100,"Cumple parcialmente")</f>
        <v/>
      </c>
      <c r="E10" s="7">
        <f>COUNTIFS(Matriz!$F$5:$F$100,"*F6*",Matriz!$J$5:$J$100,"No cumple")</f>
        <v/>
      </c>
      <c r="F10" s="7">
        <f>COUNTIFS(Matriz!$F$5:$F$100,"*F6*",Matriz!$J$5:$J$100,"No aplica")</f>
        <v/>
      </c>
      <c r="G10" s="8">
        <f>IFERROR(C10/B10,0)</f>
        <v/>
      </c>
      <c r="H10" s="7">
        <f>COUNTIFS(Matriz!$F$5:$F$100,"*F6*",Matriz!$M$5:$M$100,"Verificado")</f>
        <v/>
      </c>
      <c r="I10" s="7">
        <f>COUNTIFS(Matriz!$F$5:$F$100,"*F6*",Matriz!$M$5:$M$100,"Verificado parcialmente")</f>
        <v/>
      </c>
    </row>
    <row r="11">
      <c r="A11" s="7" t="inlineStr">
        <is>
          <t>F7 · Publicación y lanzamiento</t>
        </is>
      </c>
      <c r="B11" s="7">
        <f>COUNTIF(Matriz!$F$5:$F$100,"*F7*")</f>
        <v/>
      </c>
      <c r="C11" s="7">
        <f>COUNTIFS(Matriz!$F$5:$F$100,"*F7*",Matriz!$J$5:$J$100,"Cumple")</f>
        <v/>
      </c>
      <c r="D11" s="7">
        <f>COUNTIFS(Matriz!$F$5:$F$100,"*F7*",Matriz!$J$5:$J$100,"Cumple parcialmente")</f>
        <v/>
      </c>
      <c r="E11" s="7">
        <f>COUNTIFS(Matriz!$F$5:$F$100,"*F7*",Matriz!$J$5:$J$100,"No cumple")</f>
        <v/>
      </c>
      <c r="F11" s="7">
        <f>COUNTIFS(Matriz!$F$5:$F$100,"*F7*",Matriz!$J$5:$J$100,"No aplica")</f>
        <v/>
      </c>
      <c r="G11" s="8">
        <f>IFERROR(C11/B11,0)</f>
        <v/>
      </c>
      <c r="H11" s="7">
        <f>COUNTIFS(Matriz!$F$5:$F$100,"*F7*",Matriz!$M$5:$M$100,"Verificado")</f>
        <v/>
      </c>
      <c r="I11" s="7">
        <f>COUNTIFS(Matriz!$F$5:$F$100,"*F7*",Matriz!$M$5:$M$100,"Verificado parcialmente")</f>
        <v/>
      </c>
    </row>
    <row r="12">
      <c r="A12" s="7" t="inlineStr">
        <is>
          <t>Posterior · fuera de alcance</t>
        </is>
      </c>
      <c r="B12" s="7">
        <f>COUNTIF(Matriz!$F$5:$F$100,"*Posterior*")</f>
        <v/>
      </c>
      <c r="C12" s="7">
        <f>COUNTIFS(Matriz!$F$5:$F$100,"*Posterior*",Matriz!$J$5:$J$100,"Cumple")</f>
        <v/>
      </c>
      <c r="D12" s="7">
        <f>COUNTIFS(Matriz!$F$5:$F$100,"*Posterior*",Matriz!$J$5:$J$100,"Cumple parcialmente")</f>
        <v/>
      </c>
      <c r="E12" s="7">
        <f>COUNTIFS(Matriz!$F$5:$F$100,"*Posterior*",Matriz!$J$5:$J$100,"No cumple")</f>
        <v/>
      </c>
      <c r="F12" s="7">
        <f>COUNTIFS(Matriz!$F$5:$F$100,"*Posterior*",Matriz!$J$5:$J$100,"No aplica")</f>
        <v/>
      </c>
      <c r="G12" s="8">
        <f>IFERROR(C12/B12,0)</f>
        <v/>
      </c>
      <c r="H12" s="7">
        <f>COUNTIFS(Matriz!$F$5:$F$100,"*Posterior*",Matriz!$M$5:$M$100,"Verificado")</f>
        <v/>
      </c>
      <c r="I12" s="7">
        <f>COUNTIFS(Matriz!$F$5:$F$100,"*Posterior*",Matriz!$M$5:$M$100,"Verificado parcialmente")</f>
        <v/>
      </c>
    </row>
    <row r="13">
      <c r="A13" s="9" t="inlineStr">
        <is>
          <t>Total del producto</t>
        </is>
      </c>
      <c r="B13" s="9">
        <f>COUNTA(Matriz!$A$5:$A$100)</f>
        <v/>
      </c>
      <c r="C13" s="9">
        <f>COUNTIF(Matriz!$J$5:$J$100,"Cumple")</f>
        <v/>
      </c>
      <c r="D13" s="9">
        <f>COUNTIF(Matriz!$J$5:$J$100,"Cumple parcialmente")</f>
        <v/>
      </c>
      <c r="E13" s="9">
        <f>COUNTIF(Matriz!$J$5:$J$100,"No cumple")</f>
        <v/>
      </c>
      <c r="F13" s="9">
        <f>COUNTIF(Matriz!$J$5:$J$100,"No aplica")</f>
        <v/>
      </c>
      <c r="G13" s="10">
        <f>IFERROR(C13/B13,0)</f>
        <v/>
      </c>
      <c r="H13" s="9">
        <f>COUNTIF(Matriz!$M$5:$M$100,"Verificado")</f>
        <v/>
      </c>
      <c r="I13" s="9">
        <f>COUNTIF(Matriz!$M$5:$M$100,"Verificado parcialmente")</f>
        <v/>
      </c>
    </row>
    <row r="15">
      <c r="A15" s="11" t="inlineStr">
        <is>
          <t>Por método de verificación</t>
        </is>
      </c>
    </row>
    <row r="16">
      <c r="A16" s="12" t="inlineStr">
        <is>
          <t>I · Inspección</t>
        </is>
      </c>
      <c r="B16" s="12">
        <f>COUNTIF(Matriz!$H$5:$H$100,"I")</f>
        <v/>
      </c>
    </row>
    <row r="17">
      <c r="A17" s="12" t="inlineStr">
        <is>
          <t>A · Análisis</t>
        </is>
      </c>
      <c r="B17" s="12">
        <f>COUNTIF(Matriz!$H$5:$H$100,"A")</f>
        <v/>
      </c>
    </row>
    <row r="18">
      <c r="A18" s="12" t="inlineStr">
        <is>
          <t>D · Demostración</t>
        </is>
      </c>
      <c r="B18" s="12">
        <f>COUNTIF(Matriz!$H$5:$H$100,"D")</f>
        <v/>
      </c>
    </row>
    <row r="19">
      <c r="A19" s="12" t="inlineStr">
        <is>
          <t>T · Prueba</t>
        </is>
      </c>
      <c r="B19" s="12">
        <f>COUNTIF(Matriz!$H$5:$H$100,"T")</f>
        <v/>
      </c>
    </row>
    <row r="20">
      <c r="A20" s="12" t="inlineStr">
        <is>
          <t>I+T · Inspección y prueba</t>
        </is>
      </c>
      <c r="B20" s="12">
        <f>COUNTIF(Matriz!$H$5:$H$100,"I+T")</f>
        <v/>
      </c>
    </row>
    <row r="21">
      <c r="A21" s="12" t="inlineStr">
        <is>
          <t>N/A · No aplica</t>
        </is>
      </c>
      <c r="B21" s="12">
        <f>COUNTIF(Matriz!$H$5:$H$100,"N/A")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1.15</t>
        </is>
      </c>
      <c r="B2" s="14" t="inlineStr">
        <is>
          <t>21/10/2026</t>
        </is>
      </c>
      <c r="C2" s="14" t="inlineStr">
        <is>
          <t>v1.17</t>
        </is>
      </c>
      <c r="D2" s="14" t="inlineStr">
        <is>
          <t>0.4.2</t>
        </is>
      </c>
      <c r="E2" s="14" t="inlineStr">
        <is>
          <t>G-12 nuevo (idioma); J-11 con criterio de banco, verificado; criterios de J-01 (lectura de la nota tocada), J-06 (pistas grandes), J-08 (récords por afinación) y C-02 (idioma).</t>
        </is>
      </c>
    </row>
    <row r="3" ht="46" customHeight="1">
      <c r="A3" s="14" t="inlineStr">
        <is>
          <t>1.14</t>
        </is>
      </c>
      <c r="B3" s="14" t="inlineStr">
        <is>
          <t>21/10/2026</t>
        </is>
      </c>
      <c r="C3" s="14" t="inlineStr">
        <is>
          <t>v1.16</t>
        </is>
      </c>
      <c r="D3" s="14" t="inlineStr">
        <is>
          <t>0.4.0</t>
        </is>
      </c>
      <c r="E3" s="14" t="inlineStr">
        <is>
          <t>F4.1 a F4.3: evidencias del afinador por micrófono (A-02 a A-05, A-02-CA); A-02-CA y A-04 verificados por el banco; G-10 verificado con las etiquetas de F1 a F3.</t>
        </is>
      </c>
    </row>
    <row r="4" ht="46" customHeight="1">
      <c r="A4" s="14" t="inlineStr">
        <is>
          <t>1.13</t>
        </is>
      </c>
      <c r="B4" s="14" t="inlineStr">
        <is>
          <t>20/10/2026</t>
        </is>
      </c>
      <c r="C4" s="14" t="inlineStr">
        <is>
          <t>v1.15</t>
        </is>
      </c>
      <c r="D4" s="14" t="inlineStr">
        <is>
          <t>0.3.3</t>
        </is>
      </c>
      <c r="E4"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5" ht="46" customHeight="1">
      <c r="A5" s="14" t="inlineStr">
        <is>
          <t>1.12</t>
        </is>
      </c>
      <c r="B5" s="14" t="inlineStr">
        <is>
          <t>20/10/2026</t>
        </is>
      </c>
      <c r="C5" s="14" t="inlineStr">
        <is>
          <t>v1.14</t>
        </is>
      </c>
      <c r="D5" s="14" t="inlineStr">
        <is>
          <t>0.3.2</t>
        </is>
      </c>
      <c r="E5" s="14" t="inlineStr">
        <is>
          <t>Criterios de V-04 y G-05: «+» enseña más trastes y el usuario puede pedir trastes de hasta 28 px con el dedo (comentario del cliente del 20/10).</t>
        </is>
      </c>
    </row>
    <row r="6" ht="46" customHeight="1">
      <c r="A6" s="14" t="inlineStr">
        <is>
          <t>1.11</t>
        </is>
      </c>
      <c r="B6" s="14" t="inlineStr">
        <is>
          <t>20/10/2026</t>
        </is>
      </c>
      <c r="C6" s="14" t="inlineStr">
        <is>
          <t>v1.13</t>
        </is>
      </c>
      <c r="D6" s="14" t="inlineStr">
        <is>
          <t>0.3.1</t>
        </is>
      </c>
      <c r="E6" s="14" t="inlineStr">
        <is>
          <t>Etapa F3.4: G-05 cumple, verificado parcialmente hasta la Sesión 1. Su criterio añade los umbrales de la paleta (AR-06 #3).</t>
        </is>
      </c>
    </row>
    <row r="7" ht="46" customHeight="1">
      <c r="A7" s="14" t="inlineStr">
        <is>
          <t>1.10</t>
        </is>
      </c>
      <c r="B7" s="14" t="inlineStr">
        <is>
          <t>20/10/2026</t>
        </is>
      </c>
      <c r="C7" s="14" t="inlineStr">
        <is>
          <t>v1.12</t>
        </is>
      </c>
      <c r="D7" s="14" t="inlineStr">
        <is>
          <t>0.3.0</t>
        </is>
      </c>
      <c r="E7" s="14" t="inlineStr">
        <is>
          <t>Etapa F3.2: V-01 y C-07 cumplen, verificados parcialmente hasta la Sesión 1. Criterios revisados: V-04 (lo guardado se conserva) y G-05 (excepción en vertical por debajo de 660 px de alto).</t>
        </is>
      </c>
    </row>
    <row r="8" ht="46" customHeight="1">
      <c r="A8" s="14" t="inlineStr">
        <is>
          <t>1.9</t>
        </is>
      </c>
      <c r="B8" s="14" t="inlineStr">
        <is>
          <t>20/10/2026</t>
        </is>
      </c>
      <c r="C8" s="14" t="inlineStr">
        <is>
          <t>v1.11</t>
        </is>
      </c>
      <c r="D8" s="14" t="inlineStr">
        <is>
          <t>0.2.3</t>
        </is>
      </c>
      <c r="E8" s="14" t="inlineStr">
        <is>
          <t>Interfaz aprobada: C-06 verificado; C-07 nuevo; criterios revisados de V-01 (40 px con alto útil ≥ 268 px y aviso para girar), V-04 (trastes ≥ 40 px en pantallas táctiles), G-05 (controles de 40 × 40 px) y C-04 (navegación según la disposición).</t>
        </is>
      </c>
    </row>
    <row r="9" ht="46" customHeight="1">
      <c r="A9" s="14" t="inlineStr">
        <is>
          <t>1.8</t>
        </is>
      </c>
      <c r="B9" s="14" t="inlineStr">
        <is>
          <t>20/10/2026</t>
        </is>
      </c>
      <c r="C9" s="14" t="inlineStr">
        <is>
          <t>v1.10</t>
        </is>
      </c>
      <c r="D9" s="14" t="inlineStr">
        <is>
          <t>0.2.3</t>
        </is>
      </c>
      <c r="E9" s="14" t="inlineStr">
        <is>
          <t>S-07 cumple y queda verificado: licencia CC BY de los 161 sonidos del pack de nylon.</t>
        </is>
      </c>
    </row>
    <row r="10" ht="46" customHeight="1">
      <c r="A10" s="14" t="inlineStr">
        <is>
          <t>1.7</t>
        </is>
      </c>
      <c r="B10" s="14" t="inlineStr">
        <is>
          <t>20/10/2026</t>
        </is>
      </c>
      <c r="C10" s="14" t="inlineStr">
        <is>
          <t>v1.9</t>
        </is>
      </c>
      <c r="D10" s="14" t="inlineStr">
        <is>
          <t>0.2.3</t>
        </is>
      </c>
      <c r="E10" s="14" t="inlineStr">
        <is>
          <t>Evidencia de S-07: licencia de nylon comprobada en tres sonidos. Criterios sin cambios.</t>
        </is>
      </c>
    </row>
    <row r="11" ht="46" customHeight="1">
      <c r="A11" s="14" t="inlineStr">
        <is>
          <t>1.6</t>
        </is>
      </c>
      <c r="B11" s="14" t="inlineStr">
        <is>
          <t>19/10/2026</t>
        </is>
      </c>
      <c r="C11" s="14" t="inlineStr">
        <is>
          <t>v1.8</t>
        </is>
      </c>
      <c r="D11" s="14" t="inlineStr">
        <is>
          <t>0.2.3</t>
        </is>
      </c>
      <c r="E11" s="14" t="inlineStr">
        <is>
          <t>CP-2: criterio de G-07 con los límites revisados y solo Windows y Android; X-01 cumple; evidencia de S-01 con la escucha del cliente (V-05).</t>
        </is>
      </c>
    </row>
    <row r="12" ht="46" customHeight="1">
      <c r="A12" s="14" t="inlineStr">
        <is>
          <t>1.5</t>
        </is>
      </c>
      <c r="B12" s="14" t="inlineStr">
        <is>
          <t>19/10/2026</t>
        </is>
      </c>
      <c r="C12" s="14" t="inlineStr">
        <is>
          <t>v1.7</t>
        </is>
      </c>
      <c r="D12" s="14" t="inlineStr">
        <is>
          <t>0.2.2</t>
        </is>
      </c>
      <c r="E12" s="14" t="inlineStr">
        <is>
          <t>Criterio de S-08 según su nueva redacción: nota resultante a ±5 cents tras la corrección.</t>
        </is>
      </c>
    </row>
    <row r="13" ht="46" customHeight="1">
      <c r="A13" s="14" t="inlineStr">
        <is>
          <t>1.4</t>
        </is>
      </c>
      <c r="B13" s="14" t="inlineStr">
        <is>
          <t>19/10/2026</t>
        </is>
      </c>
      <c r="C13" s="14" t="inlineStr">
        <is>
          <t>v1.6</t>
        </is>
      </c>
      <c r="D13" s="14" t="inlineStr">
        <is>
          <t>0.2.1</t>
        </is>
      </c>
      <c r="E13" s="14" t="inlineStr">
        <is>
          <t>G-07 y G-08 verificados parcialmente con el archivo autónomo (V-03 y banco); falta la prueba en cada plataforma (F2.5).</t>
        </is>
      </c>
    </row>
    <row r="14" ht="46" customHeight="1">
      <c r="A14" s="14" t="inlineStr">
        <is>
          <t>1.3</t>
        </is>
      </c>
      <c r="B14" s="14" t="inlineStr">
        <is>
          <t>19/10/2026</t>
        </is>
      </c>
      <c r="C14" s="14" t="inlineStr">
        <is>
          <t>v1.5</t>
        </is>
      </c>
      <c r="D14" s="14" t="inlineStr">
        <is>
          <t>0.2.0</t>
        </is>
      </c>
      <c r="E14" s="14" t="inlineStr">
        <is>
          <t>S-08 verificado: la app usa sus grabaciones medidas (F2.2). Evidencias nuevas en S-01, S-07 y S-08: banco con todas las notas y grabación en el navegador (V-02).</t>
        </is>
      </c>
    </row>
    <row r="15" ht="46" customHeight="1">
      <c r="A15" s="14" t="inlineStr">
        <is>
          <t>1.2</t>
        </is>
      </c>
      <c r="B15" s="14" t="inlineStr">
        <is>
          <t>15/10/2026</t>
        </is>
      </c>
      <c r="C15" s="14" t="inlineStr">
        <is>
          <t>v1.4</t>
        </is>
      </c>
      <c r="D15" s="14" t="inlineStr">
        <is>
          <t>0.1.4</t>
        </is>
      </c>
      <c r="E15" s="14" t="inlineStr">
        <is>
          <t>Nuevo PL-04: adaptabilidad entre sistemas, con docs/compatibilidad.md como evidencia. PL-02 sin Android de pruebas por ahora; X-02 con despliegue de pruebas previo.</t>
        </is>
      </c>
    </row>
    <row r="16" ht="46" customHeight="1">
      <c r="A16" s="14" t="inlineStr">
        <is>
          <t>1.1</t>
        </is>
      </c>
      <c r="B16" s="14" t="inlineStr">
        <is>
          <t>15/10/2026</t>
        </is>
      </c>
      <c r="C16" s="14" t="inlineStr">
        <is>
          <t>v1.3</t>
        </is>
      </c>
      <c r="D16" s="14" t="inlineStr">
        <is>
          <t>0.1.4</t>
        </is>
      </c>
      <c r="E16"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17" ht="46" customHeight="1">
      <c r="A17" s="14" t="inlineStr">
        <is>
          <t>1.0</t>
        </is>
      </c>
      <c r="B17" s="14" t="inlineStr">
        <is>
          <t>14/10/2026</t>
        </is>
      </c>
      <c r="C17" s="14" t="inlineStr">
        <is>
          <t>v1.2</t>
        </is>
      </c>
      <c r="D17" s="14" t="inlineStr">
        <is>
          <t>0.1.2</t>
        </is>
      </c>
      <c r="E17"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2026-10-21T08:28:13Z</dcterms:created>
  <dcterms:modified xmlns:dcterms="http://purl.org/dc/terms/" xmlns:xsi="http://www.w3.org/2001/XMLSchema-instance" xsi:type="dcterms:W3CDTF">2026-10-21T08:28:13Z</dcterms:modified>
</cp:coreProperties>
</file>