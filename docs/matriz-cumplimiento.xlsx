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1.11. Base: requisitos.md v1.13 · app 0.3.1 · roadmap 3.11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v1.13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120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Cliente · 20/10 (interfaz.md v1.0)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prefers-reduced-motion; en pantallas táctiles, todo control y toda casilla del mástil mide al menos 40 × 40 px, salvo las cuerdas en vertical con menos de 660 px de alto. Paleta por nota: las 7 naturales a ≥ 7,5 (OKLab × 100) entre sí con visión normal y con protanopía, deuteranopía y tritanopía simuladas, y las 12 a ≥ 8 con visión normal; el nombre de la nota siempre escrito.</t>
        </is>
      </c>
      <c r="J9" s="5" t="inlineStr">
        <is>
          <t>Cumple</t>
        </is>
      </c>
      <c r="K9" s="5" t="inlineStr">
        <is>
          <t>0.1.1</t>
        </is>
      </c>
      <c r="L9" s="5" t="inlineStr">
        <is>
          <t>V-07: comprobar-accesibilidad.js (teclado, contraste, movimiento) · paleta.py · V-06: 40 × 40 px · Banco (node --test): teclado, etiquetas, paleta, grises, fila y asa</t>
        </is>
      </c>
      <c r="M9" s="5" t="inlineStr">
        <is>
          <t>Verificado parcialmente</t>
        </is>
      </c>
      <c r="N9" s="5" t="inlineStr">
        <is>
          <t>Auditor técnico</t>
        </is>
      </c>
      <c r="O9" s="5" t="inlineStr">
        <is>
          <t>Hecho en la 0.3.1 (F3.4, V-07). Con el teclado se llega a todo y el foco se ve; el mástil es una cuadrícula (role="grid") que se recorre con las flechas y se toca con Intro; en Adivinar ninguna casilla anuncia su nota (J-12). Todos los textos a 4,5:1 o más, medidos en Chromium sobre su fondo real (con la 0.3.0 había 205 por debajo). Con «reducir movimiento» nada se anima. Con el dedo, controles y casillas de 40 × 40 px, también en Ajustes; la fila entera cambia su interruptor, y el asa cierra Ajustes deslizando. Paleta por nota con tu criterio del 20/10: 7 naturales bien separadas, también con daltonismo, y sostenidos derivados (herramientas/paleta.py). Excepción (AR-05): en vertical, por debajo de 660 px de alto, la navegación manda sobre los 40 px por cuerda. Falta probar con el dedo la fila y el asa en tu iPhone (Sesión 1).</t>
        </is>
      </c>
      <c r="P9" s="6" t="n"/>
      <c r="Q9" s="5" t="inlineStr">
        <is>
          <t>Modificado</t>
        </is>
      </c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20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v1.2 · Banco (node --test): sin matchMedia ni history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 En F3.2 (0.3.0) se añaden el tipo de puntero, el historial, grid y display: contents, y position: sticky, cada uno con su alternativa (compatibilidad.md v1.2), y el banco arranca la app sin ellos.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/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</t>
        </is>
      </c>
      <c r="K38" s="5" t="inlineStr">
        <is>
          <t>0.2.3</t>
        </is>
      </c>
      <c r="L38" s="5" t="inlineStr">
        <is>
          <t>CREDITOS.md y samples/ (F2.1) · Banco (node --test): ninguna dirección externa (0.2.0) · licencia de los 161 sonidos del pack de nylon: CC BY, con filtros de control a 0 (20/10)</t>
        </is>
      </c>
      <c r="M38" s="5" t="inlineStr">
        <is>
          <t>Verificado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completó la licencia del pack de nylon: en la búsqueda de Freesound, el pack tiene 161 sonidos y el filtro de licencia «Attribution» (CC BY) devuelve los 161; dos filtros de control («Attribution 4.0» y «Creative Commons 0») devuelven 0, lo que prueba que el filtro se aplica. Tres sonidos revisados uno a uno (183078, 183083 y 183089) son «Attribution 4.0». La búsqueda la hiciste tú en tu iPhone, porque está cerrada a los agentes. Validado por inspección: ninguna petición de audio sale del dominio propio (banco) y CREDITOS.md documenta origen y licencia de los 17 archivos.</t>
        </is>
      </c>
      <c r="P38" s="6" t="n"/>
      <c r="Q38" s="5" t="inlineStr"/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78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Desde la 0.3.1 se señalan con contorno, sin relleno, y con «Ver todas las notas» llevan además un anillo claro por fuera (AR-06). Señal deliberadamente más tenue que la nota pulsada.</t>
        </is>
      </c>
      <c r="P46" s="6" t="n"/>
      <c r="Q46" s="5" t="inlineStr">
        <is>
          <t>Modificado</t>
        </is>
      </c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120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20/10 (interfaz.md v1.0)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horizontal, con un alto útil de 268 px o más, cada cuerda mide al menos 40 px (iPhone en Safari e instalada; simulador de Android). En vertical, en pantallas táctiles de menos de 600 px de ancho y en Libre, Adivinar y Escalas, aparece el aviso para girar; nunca en el Afinador; cerrado, no vuelve y «Restablecer» lo recupera.</t>
        </is>
      </c>
      <c r="J79" s="5" t="inlineStr">
        <is>
          <t>Cumple</t>
        </is>
      </c>
      <c r="K79" s="5" t="inlineStr">
        <is>
          <t>0.3.0</t>
        </is>
      </c>
      <c r="L79" s="5" t="inlineStr">
        <is>
          <t>V-06: comprobar-disposicion.js en 14 pantallas: 52,8 / 60,8 / 42,5 px · Banco (node --test): aviso para girar</t>
        </is>
      </c>
      <c r="M79" s="5" t="inlineStr">
        <is>
          <t>Verificado parcialmente</t>
        </is>
      </c>
      <c r="N79" s="5" t="inlineStr">
        <is>
          <t>Cliente</t>
        </is>
      </c>
      <c r="O79" s="5" t="inlineStr">
        <is>
          <t>Hecho en la 0.3.0 según interfaz.md §7. En horizontal, raíl, mástil a todo el alto y panel: medido en Chromium, 52,8 px por cuerda en el iPhone con Safari (antes 28,8), 60,8 con la app instalada y 42,5 en un Android de 280 px de alto (V-06). El aviso para girar sale solo con el dedo, en vertical y en pantallas de menos de 600 px de ancho, en Libre y Adivinar (y Escalas desde F5), nunca en el Afinador; cerrado no vuelve y «Restablecer» lo recupera. Falta validarlo en tu iPhone (Sesión 1). El bloqueo de orientación tiene mal soporte en iOS, así que no se fuerza.</t>
        </is>
      </c>
      <c r="P79" s="6" t="n"/>
      <c r="Q79" s="5" t="inlineStr"/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120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20/10 (interfaz.md v1.0)</t>
        </is>
      </c>
      <c r="F82" s="5" t="inlineStr">
        <is>
          <t>F1 · F3</t>
        </is>
      </c>
      <c r="G82" s="5" t="inlineStr">
        <is>
          <t>F1.1 · F3.2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 Con pointer: coarse, un traste mide al menos 40 px; si el zoom guardado pide más trastes, se muestran los que caben y lo guardado se conserva (V-08).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 · V-06: comprobar-disposicion.js en 14 pantallas · Banco (node --test): 40 px con el dedo</t>
        </is>
      </c>
      <c r="M82" s="5" t="inlineStr">
        <is>
          <t>Verificado parcialmente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 Desde la 0.3.0, con el dedo un traste nunca mide menos de 40 px (34 con ratón), y la cejuela, 40: en el iPhone en vertical caben como mucho 7 trastes y en horizontal de 10 a 12 según el ancho (V-06). Si el zoom guardado pide más, se muestran los que caben y la etiqueta lo dice, pero lo guardado se conserva para que al girar vuelva (V-08).</t>
        </is>
      </c>
      <c r="P82" s="6" t="n"/>
      <c r="Q82" s="5" t="inlineStr"/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78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Hoja que sube desde abajo en vertical; panel lateral en horizontal y en pantallas amplias, con un segundo botón en el raíl (0.3.0). Es un diálogo: mientras está abierto, el resto de la página no responde (AT-04).</t>
        </is>
      </c>
      <c r="P88" s="6" t="n"/>
      <c r="Q88" s="5" t="inlineStr"/>
    </row>
    <row r="89" ht="78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 En F6.4 se añade el grupo «Acerca de», con los créditos (G-06) y la privacidad (G-11) (interfaz.md v1.0, aprobada el 20/10).</t>
        </is>
      </c>
      <c r="P89" s="6" t="n"/>
      <c r="Q89" s="5" t="inlineStr"/>
    </row>
    <row r="90" ht="78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 y pentagrama en chips bajo la cabecera, o en el panel en horizontal, donde el pentagrama se rotula con la clave de sol; las dos pistas del juego, en la tarjeta del reto (0.3.0).</t>
        </is>
      </c>
      <c r="P90" s="6" t="n"/>
      <c r="Q90" s="5" t="inlineStr"/>
    </row>
    <row r="91" ht="78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20/10 (interfaz.md v1.0)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navegación (barra inferior, raíl o pestañas en la cabecera, según la disposición)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 en vertical, raíl a la izquierda en horizontal y pestañas en la cabecera en pantallas amplias (0.3.0). En pantallas bajas la barra nunca se sale (AR-05).</t>
        </is>
      </c>
      <c r="P91" s="6" t="n"/>
      <c r="Q91" s="5" t="inlineStr"/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93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Cumple</t>
        </is>
      </c>
      <c r="K93" s="5" t="inlineStr">
        <is>
          <t>0.2.3</t>
        </is>
      </c>
      <c r="L93" s="5" t="inlineStr">
        <is>
          <t>interfaz.md v1.0 · AR-04 · aprobación del cliente el 20/10</t>
        </is>
      </c>
      <c r="M93" s="5" t="inlineStr">
        <is>
          <t>Verificado</t>
        </is>
      </c>
      <c r="N93" s="5" t="inlineStr">
        <is>
          <t>Auditor de requisitos</t>
        </is>
      </c>
      <c r="O93" s="5" t="inlineStr">
        <is>
          <t>docs/interfaz.md v1.0, aprobada por ti el 20/10 tras la auditoría AR-04 (10 hallazgos resueltos). Bocetos al tamaño real de cada pantalla en docs/interfaz/, comprobados por herramientas/capturar-wireframes.js. Los cambios posteriores suben su versión.</t>
        </is>
      </c>
      <c r="P93" s="6" t="n"/>
      <c r="Q93" s="5" t="inlineStr"/>
    </row>
    <row r="94" ht="120" customHeight="1">
      <c r="A94" s="4" t="inlineStr">
        <is>
          <t>C-07</t>
        </is>
      </c>
      <c r="B94" s="5" t="inlineStr">
        <is>
          <t>Configuración y navegación</t>
        </is>
      </c>
      <c r="C94" s="5" t="inlineStr">
        <is>
          <t>Botón «atrás» del sistema: mientras haya un paso anterior en la sesión, el botón o gesto «atrás» cierra Ajustes o vuelve al área anterior; desde la primera área actúa el sistema. Al abrir la app se entra en Libre.</t>
        </is>
      </c>
      <c r="D94" s="5" t="inlineStr">
        <is>
          <t>Media</t>
        </is>
      </c>
      <c r="E94" s="5" t="inlineStr">
        <is>
          <t>Cliente · 20/10 (interfaz.md v1.0)</t>
        </is>
      </c>
      <c r="F94" s="5" t="inlineStr">
        <is>
          <t>F3</t>
        </is>
      </c>
      <c r="G94" s="5" t="inlineStr">
        <is>
          <t>F3.2</t>
        </is>
      </c>
      <c r="H94" s="5" t="inlineStr">
        <is>
          <t>D</t>
        </is>
      </c>
      <c r="I94" s="5" t="inlineStr">
        <is>
          <t>Con un paso anterior en la sesión, «atrás» cierra Ajustes o vuelve al área anterior; desde la primera área actúa el sistema; al abrir o recargar se entra en Libre. Prueba manual en Windows y en el simulador de Android de Chrome.</t>
        </is>
      </c>
      <c r="J94" s="5" t="inlineStr">
        <is>
          <t>Cumple</t>
        </is>
      </c>
      <c r="K94" s="5" t="inlineStr">
        <is>
          <t>0.3.0</t>
        </is>
      </c>
      <c r="L94" s="5" t="inlineStr">
        <is>
          <t>Banco (node --test): historial simulado con popstate (3 pruebas)</t>
        </is>
      </c>
      <c r="M94" s="5" t="inlineStr">
        <is>
          <t>Verificado parcialmente</t>
        </is>
      </c>
      <c r="N94" s="5" t="inlineStr">
        <is>
          <t>Cliente</t>
        </is>
      </c>
      <c r="O94" s="5" t="inlineStr">
        <is>
          <t>Hecho en la 0.3.0 con el historial del navegador (history): cada área tiene su dirección (#libre, #adivinar…). Un paso que deja la misma área, como tras recargar, se salta. El banco lo prueba con un historial simulado que avisa como el de verdad. Falta la prueba a mano en Windows y en el simulador de Android (Sesión 1). En el iPhone instalado no hay botón atrás.</t>
        </is>
      </c>
      <c r="P94" s="6" t="n"/>
      <c r="Q94" s="5" t="inlineStr"/>
    </row>
    <row r="95" ht="78" customHeight="1">
      <c r="A95" s="4" t="inlineStr">
        <is>
          <t>X-01</t>
        </is>
      </c>
      <c r="B95" s="5" t="inlineStr">
        <is>
          <t>Respaldo y publicación</t>
        </is>
      </c>
      <c r="C95" s="5" t="inlineStr">
        <is>
          <t>El código y la documentación están respaldados en el repositorio remoto (GitHub). Respaldar no es publicar.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F1</t>
        </is>
      </c>
      <c r="G95" s="5" t="inlineStr">
        <is>
          <t>F1.2 · F1.4</t>
        </is>
      </c>
      <c r="H95" s="5" t="inlineStr">
        <is>
          <t>I</t>
        </is>
      </c>
      <c r="I95" s="5" t="inlineStr">
        <is>
          <t>GitHub muestra la última versión en main, entrada por pull request aprobado, y la etiqueta de cierre de fase.</t>
        </is>
      </c>
      <c r="J95" s="5" t="inlineStr">
        <is>
          <t>Cumple</t>
        </is>
      </c>
      <c r="K95" s="5" t="inlineStr">
        <is>
          <t>0.1.4</t>
        </is>
      </c>
      <c r="L95" s="5" t="inlineStr">
        <is>
          <t>PR #1 a #5 fusionados · etiqueta v0.1.5</t>
        </is>
      </c>
      <c r="M95" s="5" t="inlineStr">
        <is>
          <t>Verificado parcialmente</t>
        </is>
      </c>
      <c r="N95" s="5" t="inlineStr">
        <is>
          <t>Auditor de requisitos</t>
        </is>
      </c>
      <c r="O95" s="5" t="inlineStr">
        <is>
          <t>Desde el 15/10 todo el proyecto está en pdigue/guitarra; cada versión entra por pull request aprobado (del #1 al #5) y F1 se cerró con la etiqueta v0.1.5. El repositorio es público.</t>
        </is>
      </c>
      <c r="P95" s="6" t="n"/>
      <c r="Q95" s="5" t="inlineStr"/>
    </row>
    <row r="96" ht="120" customHeight="1">
      <c r="A96" s="4" t="inlineStr">
        <is>
          <t>X-02</t>
        </is>
      </c>
      <c r="B96" s="5" t="inlineStr">
        <is>
          <t>Respaldo y publicación</t>
        </is>
      </c>
      <c r="C96" s="5" t="inlineStr">
        <is>
          <t>La app está publicada en una URL pública (GitHub Pages).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F7.1</t>
        </is>
      </c>
      <c r="H96" s="5" t="inlineStr">
        <is>
          <t>D</t>
        </is>
      </c>
      <c r="I96" s="5" t="inlineStr">
        <is>
          <t>La URL pública carga la app desde un dispositivo ajeno al proyecto.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6" s="6" t="n"/>
      <c r="Q96" s="5" t="inlineStr"/>
    </row>
    <row r="97" ht="33" customHeight="1">
      <c r="A97" s="4" t="inlineStr">
        <is>
          <t>X-03</t>
        </is>
      </c>
      <c r="B97" s="5" t="inlineStr">
        <is>
          <t>Respaldo y publicación</t>
        </is>
      </c>
      <c r="C97" s="5" t="inlineStr">
        <is>
          <t>La app está verificada en móviles reales, instalada como icono desde la web publicada.</t>
        </is>
      </c>
      <c r="D97" s="5" t="inlineStr">
        <is>
          <t>Alta</t>
        </is>
      </c>
      <c r="E97" s="5" t="inlineStr">
        <is>
          <t>Desarrollo · v1.1</t>
        </is>
      </c>
      <c r="F97" s="5" t="inlineStr">
        <is>
          <t>F7</t>
        </is>
      </c>
      <c r="G97" s="5" t="inlineStr">
        <is>
          <t>F7.2</t>
        </is>
      </c>
      <c r="H97" s="5" t="inlineStr">
        <is>
          <t>D</t>
        </is>
      </c>
      <c r="I97" s="5" t="inlineStr">
        <is>
          <t>La app instalada desde la web funciona en un Android, un iPhone y un Windows reales.</t>
        </is>
      </c>
      <c r="J97" s="5" t="inlineStr">
        <is>
          <t>No cumple</t>
        </is>
      </c>
      <c r="K97" s="5" t="inlineStr">
        <is>
          <t>—</t>
        </is>
      </c>
      <c r="L97" s="5" t="inlineStr">
        <is>
          <t>—</t>
        </is>
      </c>
      <c r="M97" s="5" t="inlineStr">
        <is>
          <t>Pendiente</t>
        </is>
      </c>
      <c r="N97" s="5" t="inlineStr">
        <is>
          <t>Cliente</t>
        </is>
      </c>
      <c r="O97" s="5" t="inlineStr">
        <is>
          <t>Cierra G-04 y PL-01 a PL-03 en su modo web.</t>
        </is>
      </c>
      <c r="P97" s="6" t="n"/>
      <c r="Q97" s="5" t="inlineStr"/>
    </row>
  </sheetData>
  <autoFilter ref="A4:Q97"/>
  <conditionalFormatting sqref="J5:J97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7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7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7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7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COUNTIF(Matriz!$F$5:$F$97,"*F1*")</f>
        <v/>
      </c>
      <c r="C5" s="7">
        <f>COUNTIFS(Matriz!$F$5:$F$97,"*F1*",Matriz!$J$5:$J$97,"Cumple")</f>
        <v/>
      </c>
      <c r="D5" s="7">
        <f>COUNTIFS(Matriz!$F$5:$F$97,"*F1*",Matriz!$J$5:$J$97,"Cumple parcialmente")</f>
        <v/>
      </c>
      <c r="E5" s="7">
        <f>COUNTIFS(Matriz!$F$5:$F$97,"*F1*",Matriz!$J$5:$J$97,"No cumple")</f>
        <v/>
      </c>
      <c r="F5" s="7">
        <f>COUNTIFS(Matriz!$F$5:$F$97,"*F1*",Matriz!$J$5:$J$97,"No aplica")</f>
        <v/>
      </c>
      <c r="G5" s="8">
        <f>IFERROR(C5/B5,0)</f>
        <v/>
      </c>
      <c r="H5" s="7">
        <f>COUNTIFS(Matriz!$F$5:$F$97,"*F1*",Matriz!$M$5:$M$97,"Verificado")</f>
        <v/>
      </c>
      <c r="I5" s="7">
        <f>COUNTIFS(Matriz!$F$5:$F$97,"*F1*",Matriz!$M$5:$M$97,"Verificado parcialmente")</f>
        <v/>
      </c>
    </row>
    <row r="6">
      <c r="A6" s="7" t="inlineStr">
        <is>
          <t>F2 · Sonido propio y archivo autónomo</t>
        </is>
      </c>
      <c r="B6" s="7">
        <f>COUNTIF(Matriz!$F$5:$F$97,"*F2*")</f>
        <v/>
      </c>
      <c r="C6" s="7">
        <f>COUNTIFS(Matriz!$F$5:$F$97,"*F2*",Matriz!$J$5:$J$97,"Cumple")</f>
        <v/>
      </c>
      <c r="D6" s="7">
        <f>COUNTIFS(Matriz!$F$5:$F$97,"*F2*",Matriz!$J$5:$J$97,"Cumple parcialmente")</f>
        <v/>
      </c>
      <c r="E6" s="7">
        <f>COUNTIFS(Matriz!$F$5:$F$97,"*F2*",Matriz!$J$5:$J$97,"No cumple")</f>
        <v/>
      </c>
      <c r="F6" s="7">
        <f>COUNTIFS(Matriz!$F$5:$F$97,"*F2*",Matriz!$J$5:$J$97,"No aplica")</f>
        <v/>
      </c>
      <c r="G6" s="8">
        <f>IFERROR(C6/B6,0)</f>
        <v/>
      </c>
      <c r="H6" s="7">
        <f>COUNTIFS(Matriz!$F$5:$F$97,"*F2*",Matriz!$M$5:$M$97,"Verificado")</f>
        <v/>
      </c>
      <c r="I6" s="7">
        <f>COUNTIFS(Matriz!$F$5:$F$97,"*F2*",Matriz!$M$5:$M$97,"Verificado parcialmente")</f>
        <v/>
      </c>
    </row>
    <row r="7">
      <c r="A7" s="7" t="inlineStr">
        <is>
          <t>F3 · Interfaz y adaptación</t>
        </is>
      </c>
      <c r="B7" s="7">
        <f>COUNTIF(Matriz!$F$5:$F$97,"*F3*")</f>
        <v/>
      </c>
      <c r="C7" s="7">
        <f>COUNTIFS(Matriz!$F$5:$F$97,"*F3*",Matriz!$J$5:$J$97,"Cumple")</f>
        <v/>
      </c>
      <c r="D7" s="7">
        <f>COUNTIFS(Matriz!$F$5:$F$97,"*F3*",Matriz!$J$5:$J$97,"Cumple parcialmente")</f>
        <v/>
      </c>
      <c r="E7" s="7">
        <f>COUNTIFS(Matriz!$F$5:$F$97,"*F3*",Matriz!$J$5:$J$97,"No cumple")</f>
        <v/>
      </c>
      <c r="F7" s="7">
        <f>COUNTIFS(Matriz!$F$5:$F$97,"*F3*",Matriz!$J$5:$J$97,"No aplica")</f>
        <v/>
      </c>
      <c r="G7" s="8">
        <f>IFERROR(C7/B7,0)</f>
        <v/>
      </c>
      <c r="H7" s="7">
        <f>COUNTIFS(Matriz!$F$5:$F$97,"*F3*",Matriz!$M$5:$M$97,"Verificado")</f>
        <v/>
      </c>
      <c r="I7" s="7">
        <f>COUNTIFS(Matriz!$F$5:$F$97,"*F3*",Matriz!$M$5:$M$97,"Verificado parcialmente")</f>
        <v/>
      </c>
    </row>
    <row r="8">
      <c r="A8" s="7" t="inlineStr">
        <is>
          <t>F4 · Afinador por micrófono</t>
        </is>
      </c>
      <c r="B8" s="7">
        <f>COUNTIF(Matriz!$F$5:$F$97,"*F4*")</f>
        <v/>
      </c>
      <c r="C8" s="7">
        <f>COUNTIFS(Matriz!$F$5:$F$97,"*F4*",Matriz!$J$5:$J$97,"Cumple")</f>
        <v/>
      </c>
      <c r="D8" s="7">
        <f>COUNTIFS(Matriz!$F$5:$F$97,"*F4*",Matriz!$J$5:$J$97,"Cumple parcialmente")</f>
        <v/>
      </c>
      <c r="E8" s="7">
        <f>COUNTIFS(Matriz!$F$5:$F$97,"*F4*",Matriz!$J$5:$J$97,"No cumple")</f>
        <v/>
      </c>
      <c r="F8" s="7">
        <f>COUNTIFS(Matriz!$F$5:$F$97,"*F4*",Matriz!$J$5:$J$97,"No aplica")</f>
        <v/>
      </c>
      <c r="G8" s="8">
        <f>IFERROR(C8/B8,0)</f>
        <v/>
      </c>
      <c r="H8" s="7">
        <f>COUNTIFS(Matriz!$F$5:$F$97,"*F4*",Matriz!$M$5:$M$97,"Verificado")</f>
        <v/>
      </c>
      <c r="I8" s="7">
        <f>COUNTIFS(Matriz!$F$5:$F$97,"*F4*",Matriz!$M$5:$M$97,"Verificado parcialmente")</f>
        <v/>
      </c>
    </row>
    <row r="9">
      <c r="A9" s="7" t="inlineStr">
        <is>
          <t>F5 · Escalas</t>
        </is>
      </c>
      <c r="B9" s="7">
        <f>COUNTIF(Matriz!$F$5:$F$97,"*F5*")</f>
        <v/>
      </c>
      <c r="C9" s="7">
        <f>COUNTIFS(Matriz!$F$5:$F$97,"*F5*",Matriz!$J$5:$J$97,"Cumple")</f>
        <v/>
      </c>
      <c r="D9" s="7">
        <f>COUNTIFS(Matriz!$F$5:$F$97,"*F5*",Matriz!$J$5:$J$97,"Cumple parcialmente")</f>
        <v/>
      </c>
      <c r="E9" s="7">
        <f>COUNTIFS(Matriz!$F$5:$F$97,"*F5*",Matriz!$J$5:$J$97,"No cumple")</f>
        <v/>
      </c>
      <c r="F9" s="7">
        <f>COUNTIFS(Matriz!$F$5:$F$97,"*F5*",Matriz!$J$5:$J$97,"No aplica")</f>
        <v/>
      </c>
      <c r="G9" s="8">
        <f>IFERROR(C9/B9,0)</f>
        <v/>
      </c>
      <c r="H9" s="7">
        <f>COUNTIFS(Matriz!$F$5:$F$97,"*F5*",Matriz!$M$5:$M$97,"Verificado")</f>
        <v/>
      </c>
      <c r="I9" s="7">
        <f>COUNTIFS(Matriz!$F$5:$F$97,"*F5*",Matriz!$M$5:$M$97,"Verificado parcialmente")</f>
        <v/>
      </c>
    </row>
    <row r="10">
      <c r="A10" s="7" t="inlineStr">
        <is>
          <t>F6 · Preparación para distribución</t>
        </is>
      </c>
      <c r="B10" s="7">
        <f>COUNTIF(Matriz!$F$5:$F$97,"*F6*")</f>
        <v/>
      </c>
      <c r="C10" s="7">
        <f>COUNTIFS(Matriz!$F$5:$F$97,"*F6*",Matriz!$J$5:$J$97,"Cumple")</f>
        <v/>
      </c>
      <c r="D10" s="7">
        <f>COUNTIFS(Matriz!$F$5:$F$97,"*F6*",Matriz!$J$5:$J$97,"Cumple parcialmente")</f>
        <v/>
      </c>
      <c r="E10" s="7">
        <f>COUNTIFS(Matriz!$F$5:$F$97,"*F6*",Matriz!$J$5:$J$97,"No cumple")</f>
        <v/>
      </c>
      <c r="F10" s="7">
        <f>COUNTIFS(Matriz!$F$5:$F$97,"*F6*",Matriz!$J$5:$J$97,"No aplica")</f>
        <v/>
      </c>
      <c r="G10" s="8">
        <f>IFERROR(C10/B10,0)</f>
        <v/>
      </c>
      <c r="H10" s="7">
        <f>COUNTIFS(Matriz!$F$5:$F$97,"*F6*",Matriz!$M$5:$M$97,"Verificado")</f>
        <v/>
      </c>
      <c r="I10" s="7">
        <f>COUNTIFS(Matriz!$F$5:$F$97,"*F6*",Matriz!$M$5:$M$97,"Verificado parcialmente")</f>
        <v/>
      </c>
    </row>
    <row r="11">
      <c r="A11" s="7" t="inlineStr">
        <is>
          <t>F7 · Publicación y lanzamiento</t>
        </is>
      </c>
      <c r="B11" s="7">
        <f>COUNTIF(Matriz!$F$5:$F$97,"*F7*")</f>
        <v/>
      </c>
      <c r="C11" s="7">
        <f>COUNTIFS(Matriz!$F$5:$F$97,"*F7*",Matriz!$J$5:$J$97,"Cumple")</f>
        <v/>
      </c>
      <c r="D11" s="7">
        <f>COUNTIFS(Matriz!$F$5:$F$97,"*F7*",Matriz!$J$5:$J$97,"Cumple parcialmente")</f>
        <v/>
      </c>
      <c r="E11" s="7">
        <f>COUNTIFS(Matriz!$F$5:$F$97,"*F7*",Matriz!$J$5:$J$97,"No cumple")</f>
        <v/>
      </c>
      <c r="F11" s="7">
        <f>COUNTIFS(Matriz!$F$5:$F$97,"*F7*",Matriz!$J$5:$J$97,"No aplica")</f>
        <v/>
      </c>
      <c r="G11" s="8">
        <f>IFERROR(C11/B11,0)</f>
        <v/>
      </c>
      <c r="H11" s="7">
        <f>COUNTIFS(Matriz!$F$5:$F$97,"*F7*",Matriz!$M$5:$M$97,"Verificado")</f>
        <v/>
      </c>
      <c r="I11" s="7">
        <f>COUNTIFS(Matriz!$F$5:$F$97,"*F7*",Matriz!$M$5:$M$97,"Verificado parcialmente")</f>
        <v/>
      </c>
    </row>
    <row r="12">
      <c r="A12" s="7" t="inlineStr">
        <is>
          <t>Posterior · fuera de alcance</t>
        </is>
      </c>
      <c r="B12" s="7">
        <f>COUNTIF(Matriz!$F$5:$F$97,"*Posterior*")</f>
        <v/>
      </c>
      <c r="C12" s="7">
        <f>COUNTIFS(Matriz!$F$5:$F$97,"*Posterior*",Matriz!$J$5:$J$97,"Cumple")</f>
        <v/>
      </c>
      <c r="D12" s="7">
        <f>COUNTIFS(Matriz!$F$5:$F$97,"*Posterior*",Matriz!$J$5:$J$97,"Cumple parcialmente")</f>
        <v/>
      </c>
      <c r="E12" s="7">
        <f>COUNTIFS(Matriz!$F$5:$F$97,"*Posterior*",Matriz!$J$5:$J$97,"No cumple")</f>
        <v/>
      </c>
      <c r="F12" s="7">
        <f>COUNTIFS(Matriz!$F$5:$F$97,"*Posterior*",Matriz!$J$5:$J$97,"No aplica")</f>
        <v/>
      </c>
      <c r="G12" s="8">
        <f>IFERROR(C12/B12,0)</f>
        <v/>
      </c>
      <c r="H12" s="7">
        <f>COUNTIFS(Matriz!$F$5:$F$97,"*Posterior*",Matriz!$M$5:$M$97,"Verificado")</f>
        <v/>
      </c>
      <c r="I12" s="7">
        <f>COUNTIFS(Matriz!$F$5:$F$97,"*Posterior*",Matriz!$M$5:$M$97,"Verificado parcialmente")</f>
        <v/>
      </c>
    </row>
    <row r="13">
      <c r="A13" s="9" t="inlineStr">
        <is>
          <t>Total del producto</t>
        </is>
      </c>
      <c r="B13" s="9">
        <f>COUNTA(Matriz!$A$5:$A$97)</f>
        <v/>
      </c>
      <c r="C13" s="9">
        <f>COUNTIF(Matriz!$J$5:$J$97,"Cumple")</f>
        <v/>
      </c>
      <c r="D13" s="9">
        <f>COUNTIF(Matriz!$J$5:$J$97,"Cumple parcialmente")</f>
        <v/>
      </c>
      <c r="E13" s="9">
        <f>COUNTIF(Matriz!$J$5:$J$97,"No cumple")</f>
        <v/>
      </c>
      <c r="F13" s="9">
        <f>COUNTIF(Matriz!$J$5:$J$97,"No aplica")</f>
        <v/>
      </c>
      <c r="G13" s="10">
        <f>IFERROR(C13/B13,0)</f>
        <v/>
      </c>
      <c r="H13" s="9">
        <f>COUNTIF(Matriz!$M$5:$M$97,"Verificado")</f>
        <v/>
      </c>
      <c r="I13" s="9">
        <f>COUNTIF(Matriz!$M$5:$M$97,"Verificado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COUNTIF(Matriz!$H$5:$H$97,"I")</f>
        <v/>
      </c>
    </row>
    <row r="17">
      <c r="A17" s="12" t="inlineStr">
        <is>
          <t>A · Análisis</t>
        </is>
      </c>
      <c r="B17" s="12">
        <f>COUNTIF(Matriz!$H$5:$H$97,"A")</f>
        <v/>
      </c>
    </row>
    <row r="18">
      <c r="A18" s="12" t="inlineStr">
        <is>
          <t>D · Demostración</t>
        </is>
      </c>
      <c r="B18" s="12">
        <f>COUNTIF(Matriz!$H$5:$H$97,"D")</f>
        <v/>
      </c>
    </row>
    <row r="19">
      <c r="A19" s="12" t="inlineStr">
        <is>
          <t>T · Prueba</t>
        </is>
      </c>
      <c r="B19" s="12">
        <f>COUNTIF(Matriz!$H$5:$H$97,"T")</f>
        <v/>
      </c>
    </row>
    <row r="20">
      <c r="A20" s="12" t="inlineStr">
        <is>
          <t>I+T · Inspección y prueba</t>
        </is>
      </c>
      <c r="B20" s="12">
        <f>COUNTIF(Matriz!$H$5:$H$97,"I+T")</f>
        <v/>
      </c>
    </row>
    <row r="21">
      <c r="A21" s="12" t="inlineStr">
        <is>
          <t>N/A · No aplica</t>
        </is>
      </c>
      <c r="B21" s="12">
        <f>COUNTIF(Matriz!$H$5:$H$97,"N/A")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1.11</t>
        </is>
      </c>
      <c r="B2" s="14" t="inlineStr">
        <is>
          <t>20/10/2026</t>
        </is>
      </c>
      <c r="C2" s="14" t="inlineStr">
        <is>
          <t>v1.13</t>
        </is>
      </c>
      <c r="D2" s="14" t="inlineStr">
        <is>
          <t>0.3.1</t>
        </is>
      </c>
      <c r="E2" s="14" t="inlineStr">
        <is>
          <t>Etapa F3.4: G-05 cumple, verificado parcialmente hasta la Sesión 1. Su criterio añade los umbrales de la paleta (AR-06 #3).</t>
        </is>
      </c>
    </row>
    <row r="3" ht="46" customHeight="1">
      <c r="A3" s="14" t="inlineStr">
        <is>
          <t>1.10</t>
        </is>
      </c>
      <c r="B3" s="14" t="inlineStr">
        <is>
          <t>20/10/2026</t>
        </is>
      </c>
      <c r="C3" s="14" t="inlineStr">
        <is>
          <t>v1.12</t>
        </is>
      </c>
      <c r="D3" s="14" t="inlineStr">
        <is>
          <t>0.3.0</t>
        </is>
      </c>
      <c r="E3" s="14" t="inlineStr">
        <is>
          <t>Etapa F3.2: V-01 y C-07 cumplen, verificados parcialmente hasta la Sesión 1. Criterios revisados: V-04 (lo guardado se conserva) y G-05 (excepción en vertical por debajo de 660 px de alto).</t>
        </is>
      </c>
    </row>
    <row r="4" ht="46" customHeight="1">
      <c r="A4" s="14" t="inlineStr">
        <is>
          <t>1.9</t>
        </is>
      </c>
      <c r="B4" s="14" t="inlineStr">
        <is>
          <t>20/10/2026</t>
        </is>
      </c>
      <c r="C4" s="14" t="inlineStr">
        <is>
          <t>v1.11</t>
        </is>
      </c>
      <c r="D4" s="14" t="inlineStr">
        <is>
          <t>0.2.3</t>
        </is>
      </c>
      <c r="E4" s="14" t="inlineStr">
        <is>
          <t>Interfaz aprobada: C-06 verificado; C-07 nuevo; criterios revisados de V-01 (40 px con alto útil ≥ 268 px y aviso para girar), V-04 (trastes ≥ 40 px en pantallas táctiles), G-05 (controles de 40 × 40 px) y C-04 (navegación según la disposición).</t>
        </is>
      </c>
    </row>
    <row r="5" ht="46" customHeight="1">
      <c r="A5" s="14" t="inlineStr">
        <is>
          <t>1.8</t>
        </is>
      </c>
      <c r="B5" s="14" t="inlineStr">
        <is>
          <t>20/10/2026</t>
        </is>
      </c>
      <c r="C5" s="14" t="inlineStr">
        <is>
          <t>v1.10</t>
        </is>
      </c>
      <c r="D5" s="14" t="inlineStr">
        <is>
          <t>0.2.3</t>
        </is>
      </c>
      <c r="E5" s="14" t="inlineStr">
        <is>
          <t>S-07 cumple y queda verificado: licencia CC BY de los 161 sonidos del pack de nylon.</t>
        </is>
      </c>
    </row>
    <row r="6" ht="46" customHeight="1">
      <c r="A6" s="14" t="inlineStr">
        <is>
          <t>1.7</t>
        </is>
      </c>
      <c r="B6" s="14" t="inlineStr">
        <is>
          <t>20/10/2026</t>
        </is>
      </c>
      <c r="C6" s="14" t="inlineStr">
        <is>
          <t>v1.9</t>
        </is>
      </c>
      <c r="D6" s="14" t="inlineStr">
        <is>
          <t>0.2.3</t>
        </is>
      </c>
      <c r="E6" s="14" t="inlineStr">
        <is>
          <t>Evidencia de S-07: licencia de nylon comprobada en tres sonidos. Criterios sin cambios.</t>
        </is>
      </c>
    </row>
    <row r="7" ht="46" customHeight="1">
      <c r="A7" s="14" t="inlineStr">
        <is>
          <t>1.6</t>
        </is>
      </c>
      <c r="B7" s="14" t="inlineStr">
        <is>
          <t>19/10/2026</t>
        </is>
      </c>
      <c r="C7" s="14" t="inlineStr">
        <is>
          <t>v1.8</t>
        </is>
      </c>
      <c r="D7" s="14" t="inlineStr">
        <is>
          <t>0.2.3</t>
        </is>
      </c>
      <c r="E7" s="14" t="inlineStr">
        <is>
          <t>CP-2: criterio de G-07 con los límites revisados y solo Windows y Android; X-01 cumple; evidencia de S-01 con la escucha del cliente (V-05).</t>
        </is>
      </c>
    </row>
    <row r="8" ht="46" customHeight="1">
      <c r="A8" s="14" t="inlineStr">
        <is>
          <t>1.5</t>
        </is>
      </c>
      <c r="B8" s="14" t="inlineStr">
        <is>
          <t>19/10/2026</t>
        </is>
      </c>
      <c r="C8" s="14" t="inlineStr">
        <is>
          <t>v1.7</t>
        </is>
      </c>
      <c r="D8" s="14" t="inlineStr">
        <is>
          <t>0.2.2</t>
        </is>
      </c>
      <c r="E8" s="14" t="inlineStr">
        <is>
          <t>Criterio de S-08 según su nueva redacción: nota resultante a ±5 cents tras la corrección.</t>
        </is>
      </c>
    </row>
    <row r="9" ht="46" customHeight="1">
      <c r="A9" s="14" t="inlineStr">
        <is>
          <t>1.4</t>
        </is>
      </c>
      <c r="B9" s="14" t="inlineStr">
        <is>
          <t>19/10/2026</t>
        </is>
      </c>
      <c r="C9" s="14" t="inlineStr">
        <is>
          <t>v1.6</t>
        </is>
      </c>
      <c r="D9" s="14" t="inlineStr">
        <is>
          <t>0.2.1</t>
        </is>
      </c>
      <c r="E9" s="14" t="inlineStr">
        <is>
          <t>G-07 y G-08 verificados parcialmente con el archivo autónomo (V-03 y banco); falta la prueba en cada plataforma (F2.5).</t>
        </is>
      </c>
    </row>
    <row r="10" ht="46" customHeight="1">
      <c r="A10" s="14" t="inlineStr">
        <is>
          <t>1.3</t>
        </is>
      </c>
      <c r="B10" s="14" t="inlineStr">
        <is>
          <t>19/10/2026</t>
        </is>
      </c>
      <c r="C10" s="14" t="inlineStr">
        <is>
          <t>v1.5</t>
        </is>
      </c>
      <c r="D10" s="14" t="inlineStr">
        <is>
          <t>0.2.0</t>
        </is>
      </c>
      <c r="E10" s="14" t="inlineStr">
        <is>
          <t>S-08 verificado: la app usa sus grabaciones medidas (F2.2). Evidencias nuevas en S-01, S-07 y S-08: banco con todas las notas y grabación en el navegador (V-02).</t>
        </is>
      </c>
    </row>
    <row r="11" ht="46" customHeight="1">
      <c r="A11" s="14" t="inlineStr">
        <is>
          <t>1.2</t>
        </is>
      </c>
      <c r="B11" s="14" t="inlineStr">
        <is>
          <t>15/10/2026</t>
        </is>
      </c>
      <c r="C11" s="14" t="inlineStr">
        <is>
          <t>v1.4</t>
        </is>
      </c>
      <c r="D11" s="14" t="inlineStr">
        <is>
          <t>0.1.4</t>
        </is>
      </c>
      <c r="E11" s="14" t="inlineStr">
        <is>
          <t>Nuevo PL-04: adaptabilidad entre sistemas, con docs/compatibilidad.md como evidencia. PL-02 sin Android de pruebas por ahora; X-02 con despliegue de pruebas previo.</t>
        </is>
      </c>
    </row>
    <row r="12" ht="46" customHeight="1">
      <c r="A12" s="14" t="inlineStr">
        <is>
          <t>1.1</t>
        </is>
      </c>
      <c r="B12" s="14" t="inlineStr">
        <is>
          <t>15/10/2026</t>
        </is>
      </c>
      <c r="C12" s="14" t="inlineStr">
        <is>
          <t>v1.3</t>
        </is>
      </c>
      <c r="D12" s="14" t="inlineStr">
        <is>
          <t>0.1.4</t>
        </is>
      </c>
      <c r="E12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13" ht="46" customHeight="1">
      <c r="A13" s="14" t="inlineStr">
        <is>
          <t>1.0</t>
        </is>
      </c>
      <c r="B13" s="14" t="inlineStr">
        <is>
          <t>14/10/2026</t>
        </is>
      </c>
      <c r="C13" s="14" t="inlineStr">
        <is>
          <t>v1.2</t>
        </is>
      </c>
      <c r="D13" s="14" t="inlineStr">
        <is>
          <t>0.1.2</t>
        </is>
      </c>
      <c r="E13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2026-10-20T12:08:46Z</dcterms:created>
  <dcterms:modified xmlns:dcterms="http://purl.org/dc/terms/" xmlns:xsi="http://www.w3.org/2001/XMLSchema-instance" xsi:type="dcterms:W3CDTF">2026-10-20T12:08:46Z</dcterms:modified>
</cp:coreProperties>
</file>